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Base" sheetId="2" state="visible" r:id="rId4"/>
    <sheet name="Config" sheetId="3" state="visible" r:id="rId5"/>
    <sheet name="Registo" sheetId="4" state="visible" r:id="rId6"/>
  </sheets>
  <definedNames>
    <definedName function="false" hidden="true" localSheetId="1" name="_xlnm._FilterDatabase" vbProcedure="false">Base!$A$4:$U$251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Usado apenas quando as colunas E–H (decomposição) estão vazias.</t>
        </r>
      </text>
    </comment>
    <comment ref="L4" authorId="0">
      <text>
        <r>
          <rPr>
            <sz val="10"/>
            <rFont val="Arial"/>
            <family val="2"/>
          </rPr>
          <t xml:space="preserve">Deixe vazio para usar a margem padrão da folha Config. Margem SOBRE O CUSTO.</t>
        </r>
      </text>
    </comment>
  </commentList>
</comments>
</file>

<file path=xl/sharedStrings.xml><?xml version="1.0" encoding="utf-8"?>
<sst xmlns="http://schemas.openxmlformats.org/spreadsheetml/2006/main" count="1209" uniqueCount="411">
  <si>
    <t xml:space="preserve">Base de Preços PROBUILT – preços reais</t>
  </si>
  <si>
    <t xml:space="preserve">v1.0 · Margem calculada SOBRE O CUSTO · Estrutura compatível com a folha _Produção_Folha_de_orçamento.xlsx</t>
  </si>
  <si>
    <t xml:space="preserve">COMO FUNCIONA O PREÇO</t>
  </si>
  <si>
    <t xml:space="preserve">1. Custo direto</t>
  </si>
  <si>
    <t xml:space="preserve">Soma de Mão de obra + Materiais + Equipamento + Subempreitada (colunas E–H). Se o artigo ainda não estiver decomposto, usa o «Preço global» (coluna I).</t>
  </si>
  <si>
    <t xml:space="preserve">2. Custo c/ encargos</t>
  </si>
  <si>
    <t xml:space="preserve">Cada parcela é agravada pela percentagem de encargos da folha Config (iguais à sua folha de orçamento: MO 1 %, Mat. 3 %, Equip. 2 %, Subemp. 2 %). O preço global usa o encargo médio.</t>
  </si>
  <si>
    <t xml:space="preserve">3. Preço de venda</t>
  </si>
  <si>
    <t xml:space="preserve">PV = Custo c/ encargos × (1 + Margem). A margem é SOBRE O CUSTO. Por omissão usa a margem padrão da Config; pode definir uma margem própria por artigo (coluna L).</t>
  </si>
  <si>
    <t xml:space="preserve">Exemplo</t>
  </si>
  <si>
    <t xml:space="preserve">Custo c/ encargos 100,00 € e margem 20 % → PV = 120,00 €. (A base 2026 anterior fazia 100 / 0,75 = 133,33 €, ou seja, 33 % sobre o custo.)</t>
  </si>
  <si>
    <t xml:space="preserve">FIABILIDADE DO PREÇO (coluna R)</t>
  </si>
  <si>
    <t xml:space="preserve">A</t>
  </si>
  <si>
    <t xml:space="preserve">Preço real: fatura, contrato ou adjudicação.</t>
  </si>
  <si>
    <t xml:space="preserve">B</t>
  </si>
  <si>
    <t xml:space="preserve">Preço de orçamento próprio ou proposta de subempreiteiro/fornecedor.</t>
  </si>
  <si>
    <t xml:space="preserve">C</t>
  </si>
  <si>
    <t xml:space="preserve">Referência de mercado – usar com cautela e substituir logo que haja preço B ou A.</t>
  </si>
  <si>
    <t xml:space="preserve">CÉLULAS A PREENCHER / CORES</t>
  </si>
  <si>
    <t xml:space="preserve">Fundo amarelo</t>
  </si>
  <si>
    <t xml:space="preserve">Dados de entrada (decomposição, preço global, margem própria, fonte, obra, data, fiabilidade).</t>
  </si>
  <si>
    <t xml:space="preserve">Texto azul</t>
  </si>
  <si>
    <t xml:space="preserve">Valor introduzido manualmente (preço).</t>
  </si>
  <si>
    <t xml:space="preserve">Texto preto</t>
  </si>
  <si>
    <t xml:space="preserve">Fórmula – não editar.</t>
  </si>
  <si>
    <t xml:space="preserve">REGISTO DE PREÇOS (folha Registo)</t>
  </si>
  <si>
    <t xml:space="preserve">Para que serve</t>
  </si>
  <si>
    <t xml:space="preserve">Sempre que receber um preço novo (proposta, fatura, orçamento), registe-o com o código do artigo. A Base mostra automaticamente o n.º de registos e o último preço registado, para decidir quando atualizar o preço do artigo.</t>
  </si>
  <si>
    <t xml:space="preserve">15/10/2026 · ARQ.21 · Moradia X · Proposta pintor Y · 7,90 € · B</t>
  </si>
  <si>
    <t xml:space="preserve">NOTAS</t>
  </si>
  <si>
    <t xml:space="preserve">• Origem: 115 artigos da BASE_PRECOS_2026 (referência de mercado, fiabilidade C) + 32 artigos do orçamento da Ribeira (L99), preços de custo antes de margem (fiabilidade B).</t>
  </si>
  <si>
    <t xml:space="preserve">• Os preços da Ribeira incluem agravamento por acesso condicionado – ver observações; numa obra sem condicionantes podem ser mais baixos.</t>
  </si>
  <si>
    <t xml:space="preserve">• HID.05–HID.08 passaram para ESG e TER.04–TER.05 para ACU (códigos mantidos para rastreabilidade).</t>
  </si>
  <si>
    <t xml:space="preserve">• Especialidades alinhadas com as pastas do Drive: ARQ, EST, HID (inclui PLU), ESG, ELE, ITED, AVAC, GAS, SCIE, TERM, ACU, + GER e CARP para orçamento.</t>
  </si>
  <si>
    <t xml:space="preserve">BASE DE PREÇOS PROBUILT</t>
  </si>
  <si>
    <t xml:space="preserve">Cód.</t>
  </si>
  <si>
    <t xml:space="preserve">Designação</t>
  </si>
  <si>
    <t xml:space="preserve">Esp.</t>
  </si>
  <si>
    <t xml:space="preserve">Un.</t>
  </si>
  <si>
    <t xml:space="preserve">Mão de obra (€)</t>
  </si>
  <si>
    <t xml:space="preserve">Materiais (€)</t>
  </si>
  <si>
    <t xml:space="preserve">Equipamento (€)</t>
  </si>
  <si>
    <t xml:space="preserve">Subempreitada (€)</t>
  </si>
  <si>
    <t xml:space="preserve">Preço global s/ decomp. (€)</t>
  </si>
  <si>
    <t xml:space="preserve">Custo direto (€)</t>
  </si>
  <si>
    <t xml:space="preserve">Custo c/ encargos (€)</t>
  </si>
  <si>
    <t xml:space="preserve">Margem própria (s/ custo)</t>
  </si>
  <si>
    <t xml:space="preserve">Margem aplicada</t>
  </si>
  <si>
    <t xml:space="preserve">PV unitário (€)</t>
  </si>
  <si>
    <t xml:space="preserve">Fonte</t>
  </si>
  <si>
    <t xml:space="preserve">Obra de origem</t>
  </si>
  <si>
    <t xml:space="preserve">Data</t>
  </si>
  <si>
    <t xml:space="preserve">Fiabilidade</t>
  </si>
  <si>
    <t xml:space="preserve">N.º registos</t>
  </si>
  <si>
    <t xml:space="preserve">Último preço registado (€)</t>
  </si>
  <si>
    <t xml:space="preserve">Observações</t>
  </si>
  <si>
    <t xml:space="preserve">GER.01</t>
  </si>
  <si>
    <t xml:space="preserve">Estaleiro: proteções de pavimentos e superfícies, sinalização, condicionamento de acessos (obra pequena)</t>
  </si>
  <si>
    <t xml:space="preserve">GER</t>
  </si>
  <si>
    <t xml:space="preserve">vg</t>
  </si>
  <si>
    <t xml:space="preserve">Orçamento próprio (custo, antes de margem)</t>
  </si>
  <si>
    <t xml:space="preserve">Ribeira – remodelação (L99)</t>
  </si>
  <si>
    <t xml:space="preserve">2026</t>
  </si>
  <si>
    <t xml:space="preserve">Inclui agravamento por acesso condicionado (transporte manual 100 m + escadaria, 1.º andar s/ elevador)</t>
  </si>
  <si>
    <t xml:space="preserve">GER.02</t>
  </si>
  <si>
    <t xml:space="preserve">Limpeza final de obra e entrega em condições de habitabilidade (obra pequena)</t>
  </si>
  <si>
    <t xml:space="preserve">ARQ.01</t>
  </si>
  <si>
    <t xml:space="preserve">Demolição de paredes em tijolo</t>
  </si>
  <si>
    <t xml:space="preserve">ARQ</t>
  </si>
  <si>
    <t xml:space="preserve">m²</t>
  </si>
  <si>
    <t xml:space="preserve">Referência de mercado Porto/Aveiro (BASE_PRECOS_2026)</t>
  </si>
  <si>
    <t xml:space="preserve">Jun-2026</t>
  </si>
  <si>
    <t xml:space="preserve">ARQ.02</t>
  </si>
  <si>
    <t xml:space="preserve">Demolição de pavimento em betão</t>
  </si>
  <si>
    <t xml:space="preserve">ARQ.03</t>
  </si>
  <si>
    <t xml:space="preserve">Demolição de cobertura em telha</t>
  </si>
  <si>
    <t xml:space="preserve">ARQ.04</t>
  </si>
  <si>
    <t xml:space="preserve">Paredes exteriores pano duplo tijolo 11+11 c/ caixa ar</t>
  </si>
  <si>
    <t xml:space="preserve">ARQ.05</t>
  </si>
  <si>
    <t xml:space="preserve">Paredes interiores tijolo 11</t>
  </si>
  <si>
    <t xml:space="preserve">ARQ.06</t>
  </si>
  <si>
    <t xml:space="preserve">Paredes interiores tijolo 7</t>
  </si>
  <si>
    <t xml:space="preserve">ARQ.07</t>
  </si>
  <si>
    <t xml:space="preserve">Reboco interior argamassa tradicional</t>
  </si>
  <si>
    <t xml:space="preserve">ARQ.08</t>
  </si>
  <si>
    <t xml:space="preserve">Reboco exterior argamassa monocamada</t>
  </si>
  <si>
    <t xml:space="preserve">ARQ.09</t>
  </si>
  <si>
    <t xml:space="preserve">ETICS parede exterior (EPS 60mm + acabamento)</t>
  </si>
  <si>
    <t xml:space="preserve">ARQ.10</t>
  </si>
  <si>
    <t xml:space="preserve">ETICS parede exterior (EPS 80mm + acabamento)</t>
  </si>
  <si>
    <t xml:space="preserve">ARQ.11</t>
  </si>
  <si>
    <t xml:space="preserve">Revestimento cerâmico parede interior (colocação)</t>
  </si>
  <si>
    <t xml:space="preserve">ARQ.12</t>
  </si>
  <si>
    <t xml:space="preserve">Revestimento cerâmico parede exterior (colocação)</t>
  </si>
  <si>
    <t xml:space="preserve">ARQ.13</t>
  </si>
  <si>
    <t xml:space="preserve">Pavimento cerâmico (colocação)</t>
  </si>
  <si>
    <t xml:space="preserve">ARQ.14</t>
  </si>
  <si>
    <t xml:space="preserve">Pavimento flutuante laminado AC4</t>
  </si>
  <si>
    <t xml:space="preserve">ARQ.15</t>
  </si>
  <si>
    <t xml:space="preserve">Pavimento vinílico LVT</t>
  </si>
  <si>
    <t xml:space="preserve">ARQ.16</t>
  </si>
  <si>
    <t xml:space="preserve">Pavimento microcimento (2 demãos acabamento)</t>
  </si>
  <si>
    <t xml:space="preserve">ARQ.17</t>
  </si>
  <si>
    <t xml:space="preserve">Rodapé MDF 10cm pintado</t>
  </si>
  <si>
    <t xml:space="preserve">m</t>
  </si>
  <si>
    <t xml:space="preserve">ARQ.18</t>
  </si>
  <si>
    <t xml:space="preserve">Tecto falso pladur BA13</t>
  </si>
  <si>
    <t xml:space="preserve">ARQ.19</t>
  </si>
  <si>
    <t xml:space="preserve">Tecto falso pladur hidrófugo WA13</t>
  </si>
  <si>
    <t xml:space="preserve">ARQ.20</t>
  </si>
  <si>
    <t xml:space="preserve">Tecto falso pladur curvo (raio até 1,5m)</t>
  </si>
  <si>
    <t xml:space="preserve">ARQ.21</t>
  </si>
  <si>
    <t xml:space="preserve">Pintura interior tinta plástica (2 demãos c/ primário)</t>
  </si>
  <si>
    <t xml:space="preserve">ARQ.22</t>
  </si>
  <si>
    <t xml:space="preserve">Pintura exterior tinta acrílica (2 demãos)</t>
  </si>
  <si>
    <t xml:space="preserve">ARQ.23</t>
  </si>
  <si>
    <t xml:space="preserve">Impermeabilização varanda/terraço (manta butil 1,5mm)</t>
  </si>
  <si>
    <t xml:space="preserve">ARQ.24</t>
  </si>
  <si>
    <t xml:space="preserve">Impermeabilização cobertura plana (manta betuminosa 4kg)</t>
  </si>
  <si>
    <t xml:space="preserve">ARQ.25</t>
  </si>
  <si>
    <t xml:space="preserve">Porta interior pré-fabricada MDF lacada</t>
  </si>
  <si>
    <t xml:space="preserve">un</t>
  </si>
  <si>
    <t xml:space="preserve">ARQ.26</t>
  </si>
  <si>
    <t xml:space="preserve">Porta exterior blindada 90cm</t>
  </si>
  <si>
    <t xml:space="preserve">ARQ.27</t>
  </si>
  <si>
    <t xml:space="preserve">Janela PVC duplo vidro (até 1,2×1,2m)</t>
  </si>
  <si>
    <t xml:space="preserve">ARQ.28</t>
  </si>
  <si>
    <t xml:space="preserve">Janela PVC duplo vidro (até 1,5×1,5m)</t>
  </si>
  <si>
    <t xml:space="preserve">ARQ.29</t>
  </si>
  <si>
    <t xml:space="preserve">Portada exterior alumínio</t>
  </si>
  <si>
    <t xml:space="preserve">ARQ.30</t>
  </si>
  <si>
    <t xml:space="preserve">Guarda-corpo inox escovado</t>
  </si>
  <si>
    <t xml:space="preserve">ARQ.31</t>
  </si>
  <si>
    <t xml:space="preserve">Demolição de parede interior em alvenaria existente, c/ ensacamento manual, transporte à mão e remoção a vazadouro</t>
  </si>
  <si>
    <t xml:space="preserve">ARQ.32</t>
  </si>
  <si>
    <t xml:space="preserve">Abertura e fecho de vãos em alvenaria rebocada, incl. lintéis e regularização</t>
  </si>
  <si>
    <t xml:space="preserve">ARQ.33</t>
  </si>
  <si>
    <t xml:space="preserve">Parede em pladur standard BA13 c/ estrutura metálica galvanizada, juntas tratadas, pronta a pintar</t>
  </si>
  <si>
    <t xml:space="preserve">ARQ.34</t>
  </si>
  <si>
    <t xml:space="preserve">Revestimento cerâmico em paredes de WC (fornecimento e aplicação), cimento-cola C2TES1 e betumação</t>
  </si>
  <si>
    <t xml:space="preserve">ARQ.35</t>
  </si>
  <si>
    <t xml:space="preserve">Pladur hidrófugo H1 em zonas húmidas (paredes)</t>
  </si>
  <si>
    <t xml:space="preserve">ARQ.36</t>
  </si>
  <si>
    <t xml:space="preserve">Impermeabilização com argamassa bicomponente (tipo Weber 824) em pavimento e zona de duche</t>
  </si>
  <si>
    <t xml:space="preserve">ARQ.37</t>
  </si>
  <si>
    <t xml:space="preserve">Pavimento cerâmico em WC (fornecimento e aplicação), cimento-cola C2TES1 e betumação</t>
  </si>
  <si>
    <t xml:space="preserve">ARQ.38</t>
  </si>
  <si>
    <t xml:space="preserve">Teto falso em pladur BA13 c/ estrutura suspensa, nivelamento e juntas</t>
  </si>
  <si>
    <t xml:space="preserve">ARQ.39</t>
  </si>
  <si>
    <t xml:space="preserve">Teto falso em pladur hidrófugo H1 em zonas húmidas</t>
  </si>
  <si>
    <t xml:space="preserve">ARQ.40</t>
  </si>
  <si>
    <t xml:space="preserve">Pintura de paredes e tetos: primário + 2 demãos de tinta acrílica lavável</t>
  </si>
  <si>
    <t xml:space="preserve">ARQ.41</t>
  </si>
  <si>
    <t xml:space="preserve">OSB 10 mm para reforço da base de pavimento flutuante</t>
  </si>
  <si>
    <t xml:space="preserve">ARQ.42</t>
  </si>
  <si>
    <t xml:space="preserve">Pavimento laminado AC4 Classe 32, 8 mm, click, c/ manta acústica e remates</t>
  </si>
  <si>
    <t xml:space="preserve">EST.01</t>
  </si>
  <si>
    <t xml:space="preserve">Betão de limpeza C12/15</t>
  </si>
  <si>
    <t xml:space="preserve">EST</t>
  </si>
  <si>
    <t xml:space="preserve">m³</t>
  </si>
  <si>
    <t xml:space="preserve">EST.02</t>
  </si>
  <si>
    <t xml:space="preserve">Betão em fundações C25/30 (exec. c/ bomba)</t>
  </si>
  <si>
    <t xml:space="preserve">EST.03</t>
  </si>
  <si>
    <t xml:space="preserve">Betão em pilares C25/30</t>
  </si>
  <si>
    <t xml:space="preserve">EST.04</t>
  </si>
  <si>
    <t xml:space="preserve">Betão em vigas C25/30</t>
  </si>
  <si>
    <t xml:space="preserve">EST.05</t>
  </si>
  <si>
    <t xml:space="preserve">Betão em laje maciça C25/30</t>
  </si>
  <si>
    <t xml:space="preserve">EST.06</t>
  </si>
  <si>
    <t xml:space="preserve">Betão em laje aligeirada (PAVICER) C25/30</t>
  </si>
  <si>
    <t xml:space="preserve">EST.07</t>
  </si>
  <si>
    <t xml:space="preserve">Betão em escadas C25/30</t>
  </si>
  <si>
    <t xml:space="preserve">EST.08</t>
  </si>
  <si>
    <t xml:space="preserve">Aço A400 em varão (fornecimento + colocação)</t>
  </si>
  <si>
    <t xml:space="preserve">kg</t>
  </si>
  <si>
    <t xml:space="preserve">EST.09</t>
  </si>
  <si>
    <t xml:space="preserve">Aço A500 em varão (fornecimento + colocação)</t>
  </si>
  <si>
    <t xml:space="preserve">EST.10</t>
  </si>
  <si>
    <t xml:space="preserve">Cofragem recuperável em pilares</t>
  </si>
  <si>
    <t xml:space="preserve">EST.11</t>
  </si>
  <si>
    <t xml:space="preserve">Cofragem recuperável em vigas</t>
  </si>
  <si>
    <t xml:space="preserve">EST.12</t>
  </si>
  <si>
    <t xml:space="preserve">Cofragem recuperável em lajes</t>
  </si>
  <si>
    <t xml:space="preserve">EST.13</t>
  </si>
  <si>
    <t xml:space="preserve">Micropilote D150mm (perfuração + injecção)</t>
  </si>
  <si>
    <t xml:space="preserve">EST.14</t>
  </si>
  <si>
    <t xml:space="preserve">Muro contenção betão armado (e=30cm)</t>
  </si>
  <si>
    <t xml:space="preserve">EST.15</t>
  </si>
  <si>
    <t xml:space="preserve">Escavação em terreno médio (retroescavadora)</t>
  </si>
  <si>
    <t xml:space="preserve">EST.16</t>
  </si>
  <si>
    <t xml:space="preserve">Escavação em rocha (martelo hidráulico)</t>
  </si>
  <si>
    <t xml:space="preserve">EST.17</t>
  </si>
  <si>
    <t xml:space="preserve">Aterro e compactação com material seleccionado</t>
  </si>
  <si>
    <t xml:space="preserve">EST.18</t>
  </si>
  <si>
    <t xml:space="preserve">Tratamento de fissuras em estrutura existente</t>
  </si>
  <si>
    <t xml:space="preserve">HID.01</t>
  </si>
  <si>
    <t xml:space="preserve">Ramal abastecimento água PE100 D32</t>
  </si>
  <si>
    <t xml:space="preserve">HID</t>
  </si>
  <si>
    <t xml:space="preserve">HID.02</t>
  </si>
  <si>
    <t xml:space="preserve">Tubagem PPR PN20 D20 (abastecimento interior)</t>
  </si>
  <si>
    <t xml:space="preserve">HID.03</t>
  </si>
  <si>
    <t xml:space="preserve">Tubagem PPR PN20 D25</t>
  </si>
  <si>
    <t xml:space="preserve">HID.04</t>
  </si>
  <si>
    <t xml:space="preserve">Tubagem PPR PN20 D32</t>
  </si>
  <si>
    <t xml:space="preserve">HID.09</t>
  </si>
  <si>
    <t xml:space="preserve">Aquecedor a gás 11l/min (inc. instalação)</t>
  </si>
  <si>
    <t xml:space="preserve">HID.10</t>
  </si>
  <si>
    <t xml:space="preserve">Esquentador termostático 14l/min</t>
  </si>
  <si>
    <t xml:space="preserve">HID.11</t>
  </si>
  <si>
    <t xml:space="preserve">Torneira misturadora (louça sanitária excluída)</t>
  </si>
  <si>
    <t xml:space="preserve">HID.12</t>
  </si>
  <si>
    <t xml:space="preserve">Autoclismo embutido + placa de comando</t>
  </si>
  <si>
    <t xml:space="preserve">HID.13</t>
  </si>
  <si>
    <t xml:space="preserve">Bomba circulação solar</t>
  </si>
  <si>
    <t xml:space="preserve">HID.14</t>
  </si>
  <si>
    <t xml:space="preserve">Painel solar plano (2m²)</t>
  </si>
  <si>
    <t xml:space="preserve">HID.15</t>
  </si>
  <si>
    <t xml:space="preserve">Depósito AQS 200l c/ serpentina</t>
  </si>
  <si>
    <t xml:space="preserve">HID.16</t>
  </si>
  <si>
    <t xml:space="preserve">Remoção de loiças sanitárias existentes (desmontagem cuidada, corte de ligações, transporte)</t>
  </si>
  <si>
    <t xml:space="preserve">HID.17</t>
  </si>
  <si>
    <t xml:space="preserve">Conjunto sanita + autoclismo + assento (gama média)</t>
  </si>
  <si>
    <t xml:space="preserve">HID.18</t>
  </si>
  <si>
    <t xml:space="preserve">Móvel WC 58x48 cm c/ lavatório de pousar e bancada</t>
  </si>
  <si>
    <t xml:space="preserve">HID.19</t>
  </si>
  <si>
    <t xml:space="preserve">Base de duche em resina antiderrapante 70x120 cm</t>
  </si>
  <si>
    <t xml:space="preserve">HID.20</t>
  </si>
  <si>
    <t xml:space="preserve">Resguardo frontal de duche 120x185 cm vidro transparente</t>
  </si>
  <si>
    <t xml:space="preserve">HID.21</t>
  </si>
  <si>
    <t xml:space="preserve">Torneira de lavatório (gama média)</t>
  </si>
  <si>
    <t xml:space="preserve">HID.22</t>
  </si>
  <si>
    <t xml:space="preserve">Chuveiro c/ bicha e rampa telescópica</t>
  </si>
  <si>
    <t xml:space="preserve">HID.23</t>
  </si>
  <si>
    <t xml:space="preserve">Rede de águas quente e fria em multicamada (1 WC), incl. acessórios, isolamento e ligações</t>
  </si>
  <si>
    <t xml:space="preserve">HID.24</t>
  </si>
  <si>
    <t xml:space="preserve">Válvulas, sifões, flexíveis e acessórios de acabamento (1 WC)</t>
  </si>
  <si>
    <t xml:space="preserve">HID.25</t>
  </si>
  <si>
    <t xml:space="preserve">Ensaios de estanquidade e colocação em funcionamento</t>
  </si>
  <si>
    <t xml:space="preserve">ESG.01</t>
  </si>
  <si>
    <t xml:space="preserve">Rede de drenagem doméstica em PVC série reforçada (1 WC), incl. caixas sifonadas</t>
  </si>
  <si>
    <t xml:space="preserve">ESG</t>
  </si>
  <si>
    <t xml:space="preserve">HID.05</t>
  </si>
  <si>
    <t xml:space="preserve">Tubo queda PVC SN4 D110 (esgoto)</t>
  </si>
  <si>
    <t xml:space="preserve">Código mantido da base 2026; especialidade reclassificada</t>
  </si>
  <si>
    <t xml:space="preserve">HID.06</t>
  </si>
  <si>
    <t xml:space="preserve">Ramal de descarga PVC D50 (esgoto)</t>
  </si>
  <si>
    <t xml:space="preserve">HID.07</t>
  </si>
  <si>
    <t xml:space="preserve">Ramal de descarga PVC D75</t>
  </si>
  <si>
    <t xml:space="preserve">HID.08</t>
  </si>
  <si>
    <t xml:space="preserve">Caixa de visita betão D60 (h até 1,2m)</t>
  </si>
  <si>
    <t xml:space="preserve">ELE.01</t>
  </si>
  <si>
    <t xml:space="preserve">Ramal eléctrico monofásico (Caixa Contador)</t>
  </si>
  <si>
    <t xml:space="preserve">ELE</t>
  </si>
  <si>
    <t xml:space="preserve">ELE.02</t>
  </si>
  <si>
    <t xml:space="preserve">Quadro eléctrico geral até 16 disjuntores</t>
  </si>
  <si>
    <t xml:space="preserve">ELE.03</t>
  </si>
  <si>
    <t xml:space="preserve">Quadro eléctrico geral até 24 disjuntores</t>
  </si>
  <si>
    <t xml:space="preserve">ELE.04</t>
  </si>
  <si>
    <t xml:space="preserve">Circuito iluminação (cabo + canalização)</t>
  </si>
  <si>
    <t xml:space="preserve">ELE.05</t>
  </si>
  <si>
    <t xml:space="preserve">Circuito tomadas (cabo + canalização)</t>
  </si>
  <si>
    <t xml:space="preserve">ELE.06</t>
  </si>
  <si>
    <t xml:space="preserve">Ponto de luz (caixa + ligações)</t>
  </si>
  <si>
    <t xml:space="preserve">ELE.07</t>
  </si>
  <si>
    <t xml:space="preserve">Tomada dupla encastrada</t>
  </si>
  <si>
    <t xml:space="preserve">ELE.08</t>
  </si>
  <si>
    <t xml:space="preserve">Tomada 16A (forno/máquina)</t>
  </si>
  <si>
    <t xml:space="preserve">ELE.09</t>
  </si>
  <si>
    <t xml:space="preserve">Interruptor simples</t>
  </si>
  <si>
    <t xml:space="preserve">ELE.10</t>
  </si>
  <si>
    <t xml:space="preserve">Interruptor duplo</t>
  </si>
  <si>
    <t xml:space="preserve">ELE.11</t>
  </si>
  <si>
    <t xml:space="preserve">Campainha + botão</t>
  </si>
  <si>
    <t xml:space="preserve">ELE.12</t>
  </si>
  <si>
    <t xml:space="preserve">Videoporteiro básico</t>
  </si>
  <si>
    <t xml:space="preserve">ELE.13</t>
  </si>
  <si>
    <t xml:space="preserve">Sistema fotovoltaico 3kWp (painéis + inversor)</t>
  </si>
  <si>
    <t xml:space="preserve">ELE.14</t>
  </si>
  <si>
    <t xml:space="preserve">Sistema fotovoltaico 5kWp</t>
  </si>
  <si>
    <t xml:space="preserve">ELE.15</t>
  </si>
  <si>
    <t xml:space="preserve">Carregador EV monofásico 7,4kW</t>
  </si>
  <si>
    <t xml:space="preserve">ELE.16</t>
  </si>
  <si>
    <t xml:space="preserve">Instalação elétrica embebida (apartamento), tubagem VD, caixas, cablagem e aparelhagem</t>
  </si>
  <si>
    <t xml:space="preserve">ELE.17</t>
  </si>
  <si>
    <t xml:space="preserve">Aparelhagem elétrica (tipo EFAPEL), cor branca, fornecimento e instalação</t>
  </si>
  <si>
    <t xml:space="preserve">ELE.18</t>
  </si>
  <si>
    <t xml:space="preserve">Iluminação LED encastrada em teto falso</t>
  </si>
  <si>
    <t xml:space="preserve">ELE.19</t>
  </si>
  <si>
    <t xml:space="preserve">Circuito dedicado para instalações sanitárias e equipamentos</t>
  </si>
  <si>
    <t xml:space="preserve">ELE.20</t>
  </si>
  <si>
    <t xml:space="preserve">Revisão e adaptação de quadro elétrico existente (diferencial e disjuntores)</t>
  </si>
  <si>
    <t xml:space="preserve">ITE.01</t>
  </si>
  <si>
    <t xml:space="preserve">Passagem de caixilharia ITED (caixa + calha)</t>
  </si>
  <si>
    <t xml:space="preserve">ITED</t>
  </si>
  <si>
    <t xml:space="preserve">ITE.02</t>
  </si>
  <si>
    <t xml:space="preserve">Tomada TV+TEL+DADOS RJ45</t>
  </si>
  <si>
    <t xml:space="preserve">ITE.03</t>
  </si>
  <si>
    <t xml:space="preserve">Caixa ITED individual (ATI)</t>
  </si>
  <si>
    <t xml:space="preserve">ITE.04</t>
  </si>
  <si>
    <t xml:space="preserve">Caixa ITED colectiva (ATE)</t>
  </si>
  <si>
    <t xml:space="preserve">ITE.05</t>
  </si>
  <si>
    <t xml:space="preserve">Cabo coaxial RG6 (instalação)</t>
  </si>
  <si>
    <t xml:space="preserve">ITE.06</t>
  </si>
  <si>
    <t xml:space="preserve">Router/switch instalação e config.</t>
  </si>
  <si>
    <t xml:space="preserve">AVA.01</t>
  </si>
  <si>
    <t xml:space="preserve">Split 9000 BTU (A+++) fornecimento + install.</t>
  </si>
  <si>
    <t xml:space="preserve">AVAC</t>
  </si>
  <si>
    <t xml:space="preserve">AVA.02</t>
  </si>
  <si>
    <t xml:space="preserve">Split 12000 BTU (A+++)</t>
  </si>
  <si>
    <t xml:space="preserve">AVA.03</t>
  </si>
  <si>
    <t xml:space="preserve">Split 18000 BTU (A+++)</t>
  </si>
  <si>
    <t xml:space="preserve">AVA.04</t>
  </si>
  <si>
    <t xml:space="preserve">Multi-split 3×9000 BTU</t>
  </si>
  <si>
    <t xml:space="preserve">AVA.05</t>
  </si>
  <si>
    <t xml:space="preserve">VRF sistema comercial (por kW frio)</t>
  </si>
  <si>
    <t xml:space="preserve">kW</t>
  </si>
  <si>
    <t xml:space="preserve">AVA.06</t>
  </si>
  <si>
    <t xml:space="preserve">VMC simples fluxo (fornecimento + install.)</t>
  </si>
  <si>
    <t xml:space="preserve">AVA.07</t>
  </si>
  <si>
    <t xml:space="preserve">VMC duplo fluxo com recuperação de calor</t>
  </si>
  <si>
    <t xml:space="preserve">AVA.08</t>
  </si>
  <si>
    <t xml:space="preserve">Piso radiante eléctrico (por m²)</t>
  </si>
  <si>
    <t xml:space="preserve">AVA.09</t>
  </si>
  <si>
    <t xml:space="preserve">Piso radiante hidráulico (por m²)</t>
  </si>
  <si>
    <t xml:space="preserve">GAS.01</t>
  </si>
  <si>
    <t xml:space="preserve">Ramal gás natural DN25 (rua → contador)</t>
  </si>
  <si>
    <t xml:space="preserve">GAS</t>
  </si>
  <si>
    <t xml:space="preserve">GAS.02</t>
  </si>
  <si>
    <t xml:space="preserve">Tubagem cobre D15 instalação interior</t>
  </si>
  <si>
    <t xml:space="preserve">GAS.03</t>
  </si>
  <si>
    <t xml:space="preserve">Tubagem cobre D22</t>
  </si>
  <si>
    <t xml:space="preserve">GAS.04</t>
  </si>
  <si>
    <t xml:space="preserve">Caldeira gás natural c/acumulação 24kW</t>
  </si>
  <si>
    <t xml:space="preserve">GAS.05</t>
  </si>
  <si>
    <t xml:space="preserve">Caldeira condensação 24kW (A+)</t>
  </si>
  <si>
    <t xml:space="preserve">GAS.06</t>
  </si>
  <si>
    <t xml:space="preserve">Lareira a gás (encastrar)</t>
  </si>
  <si>
    <t xml:space="preserve">SCI.01</t>
  </si>
  <si>
    <t xml:space="preserve">Detector de fumo (inc. ligação)</t>
  </si>
  <si>
    <t xml:space="preserve">SCIE</t>
  </si>
  <si>
    <t xml:space="preserve">SCI.02</t>
  </si>
  <si>
    <t xml:space="preserve">Sirene interior</t>
  </si>
  <si>
    <t xml:space="preserve">SCI.03</t>
  </si>
  <si>
    <t xml:space="preserve">Central de incêndio (até 8 zonas)</t>
  </si>
  <si>
    <t xml:space="preserve">SCI.04</t>
  </si>
  <si>
    <t xml:space="preserve">Extintor pó ABC 6kg (fornecimento + suporte)</t>
  </si>
  <si>
    <t xml:space="preserve">SCI.05</t>
  </si>
  <si>
    <t xml:space="preserve">Boca de incêndio armada DN25</t>
  </si>
  <si>
    <t xml:space="preserve">SCI.06</t>
  </si>
  <si>
    <t xml:space="preserve">Sprinkler residencial (por cabeça)</t>
  </si>
  <si>
    <t xml:space="preserve">TER.01</t>
  </si>
  <si>
    <t xml:space="preserve">Isolamento XPS 50mm em cobertura plana</t>
  </si>
  <si>
    <t xml:space="preserve">TERM</t>
  </si>
  <si>
    <t xml:space="preserve">TER.02</t>
  </si>
  <si>
    <t xml:space="preserve">Isolamento XPS 80mm em cobertura plana</t>
  </si>
  <si>
    <t xml:space="preserve">TER.03</t>
  </si>
  <si>
    <t xml:space="preserve">Isolamento MW 50mm em paredes (caixa-de-ar)</t>
  </si>
  <si>
    <t xml:space="preserve">TER.04</t>
  </si>
  <si>
    <t xml:space="preserve">Isolamento acústico pavimento (betão celular 5cm)</t>
  </si>
  <si>
    <t xml:space="preserve">ACU</t>
  </si>
  <si>
    <t xml:space="preserve">TER.05</t>
  </si>
  <si>
    <t xml:space="preserve">Isolamento acústico tecto falso (MW 40mm)</t>
  </si>
  <si>
    <t xml:space="preserve">CAR.01</t>
  </si>
  <si>
    <t xml:space="preserve">Roupeiro embutido MDF lacado (por metro linear)</t>
  </si>
  <si>
    <t xml:space="preserve">CARP</t>
  </si>
  <si>
    <t xml:space="preserve">CAR.02</t>
  </si>
  <si>
    <t xml:space="preserve">Cozinha MDF lacado (por metro linear)</t>
  </si>
  <si>
    <t xml:space="preserve">CAR.03</t>
  </si>
  <si>
    <t xml:space="preserve">Casa de banho em MDF lacado (móvel+lavatório)</t>
  </si>
  <si>
    <t xml:space="preserve">CAR.04</t>
  </si>
  <si>
    <t xml:space="preserve">Escada em madeira maciça (por degrau)</t>
  </si>
  <si>
    <t xml:space="preserve">CAR.05</t>
  </si>
  <si>
    <t xml:space="preserve">Soalho madeira maciça (colocação)</t>
  </si>
  <si>
    <t xml:space="preserve">CAR.06</t>
  </si>
  <si>
    <t xml:space="preserve">Rodapé MDF hidrófugo lacado branco 100 mm</t>
  </si>
  <si>
    <t xml:space="preserve">CAR.07</t>
  </si>
  <si>
    <t xml:space="preserve">Recuperação de porta interior existente (lixagem, reparação, ferragens, acabamento)</t>
  </si>
  <si>
    <t xml:space="preserve">PARÂMETROS</t>
  </si>
  <si>
    <t xml:space="preserve">Margem padrão (sobre o custo)</t>
  </si>
  <si>
    <t xml:space="preserve">Igual à folha _Produção_Folha_de_orçamento.xlsx (célula I6)</t>
  </si>
  <si>
    <t xml:space="preserve">Encargos – Mão de obra</t>
  </si>
  <si>
    <t xml:space="preserve">Folha de orçamento, célula J6</t>
  </si>
  <si>
    <t xml:space="preserve">Encargos – Materiais</t>
  </si>
  <si>
    <t xml:space="preserve">Folha de orçamento, célula K6</t>
  </si>
  <si>
    <t xml:space="preserve">Encargos – Equipamento</t>
  </si>
  <si>
    <t xml:space="preserve">Folha de orçamento, célula L6</t>
  </si>
  <si>
    <t xml:space="preserve">Encargos – Subempreitada</t>
  </si>
  <si>
    <t xml:space="preserve">Folha de orçamento, célula M6</t>
  </si>
  <si>
    <t xml:space="preserve">Encargo médio – preço global</t>
  </si>
  <si>
    <t xml:space="preserve">Pressuposto: média aplicada a artigos ainda não decompostos – ajustar</t>
  </si>
  <si>
    <t xml:space="preserve">IVA – taxa normal</t>
  </si>
  <si>
    <t xml:space="preserve">Referência</t>
  </si>
  <si>
    <t xml:space="preserve">IVA – taxa reduzida (ARU / reabilitação)</t>
  </si>
  <si>
    <t xml:space="preserve">Referência – confirmar enquadramento em cada obra</t>
  </si>
  <si>
    <t xml:space="preserve">ESPECIALIDADES</t>
  </si>
  <si>
    <t xml:space="preserve">Gerais / Estaleiro</t>
  </si>
  <si>
    <t xml:space="preserve">Arquitetura</t>
  </si>
  <si>
    <t xml:space="preserve">Estruturas</t>
  </si>
  <si>
    <t xml:space="preserve">Águas (abastecimento)</t>
  </si>
  <si>
    <t xml:space="preserve">PLU</t>
  </si>
  <si>
    <t xml:space="preserve">Águas pluviais</t>
  </si>
  <si>
    <t xml:space="preserve">Esgotos</t>
  </si>
  <si>
    <t xml:space="preserve">Eletricidade</t>
  </si>
  <si>
    <t xml:space="preserve">AVAC / Ventilação</t>
  </si>
  <si>
    <t xml:space="preserve">Gás</t>
  </si>
  <si>
    <t xml:space="preserve">Térmica</t>
  </si>
  <si>
    <t xml:space="preserve">Acústica</t>
  </si>
  <si>
    <t xml:space="preserve">Carpintarias / Mobiliário</t>
  </si>
  <si>
    <t xml:space="preserve">Obra</t>
  </si>
  <si>
    <t xml:space="preserve">Fonte (fornecedor / subempreiteiro / documento)</t>
  </si>
  <si>
    <t xml:space="preserve">Preço unitário (€)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</si>
</sst>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;\-#,##0.00&quot; €&quot;;\-"/>
    <numFmt numFmtId="166" formatCode="0%"/>
    <numFmt numFmtId="167" formatCode="General"/>
    <numFmt numFmtId="168" formatCode="0.0%"/>
    <numFmt numFmtId="169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4" t="s">
        <v>3</v>
      </c>
      <c r="C5" s="5" t="s">
        <v>4</v>
      </c>
    </row>
    <row r="6" customFormat="false" ht="23.85" hidden="false" customHeight="false" outlineLevel="0" collapsed="false">
      <c r="B6" s="4" t="s">
        <v>5</v>
      </c>
      <c r="C6" s="5" t="s">
        <v>6</v>
      </c>
    </row>
    <row r="7" customFormat="false" ht="23.85" hidden="false" customHeight="false" outlineLevel="0" collapsed="false">
      <c r="B7" s="4" t="s">
        <v>7</v>
      </c>
      <c r="C7" s="5" t="s">
        <v>8</v>
      </c>
    </row>
    <row r="8" customFormat="false" ht="23.85" hidden="false" customHeight="false" outlineLevel="0" collapsed="false">
      <c r="B8" s="4" t="s">
        <v>9</v>
      </c>
      <c r="C8" s="5" t="s">
        <v>10</v>
      </c>
    </row>
    <row r="10" customFormat="false" ht="15" hidden="false" customHeight="false" outlineLevel="0" collapsed="false">
      <c r="B10" s="3" t="s">
        <v>11</v>
      </c>
    </row>
    <row r="11" customFormat="false" ht="15" hidden="false" customHeight="false" outlineLevel="0" collapsed="false">
      <c r="B11" s="6" t="s">
        <v>12</v>
      </c>
      <c r="C11" s="5" t="s">
        <v>13</v>
      </c>
    </row>
    <row r="12" customFormat="false" ht="15" hidden="false" customHeight="false" outlineLevel="0" collapsed="false">
      <c r="B12" s="7" t="s">
        <v>14</v>
      </c>
      <c r="C12" s="5" t="s">
        <v>15</v>
      </c>
    </row>
    <row r="13" customFormat="false" ht="15" hidden="false" customHeight="false" outlineLevel="0" collapsed="false">
      <c r="B13" s="8" t="s">
        <v>16</v>
      </c>
      <c r="C13" s="5" t="s">
        <v>17</v>
      </c>
    </row>
    <row r="15" customFormat="false" ht="15" hidden="false" customHeight="false" outlineLevel="0" collapsed="false">
      <c r="B15" s="3" t="s">
        <v>18</v>
      </c>
    </row>
    <row r="16" customFormat="false" ht="15" hidden="false" customHeight="false" outlineLevel="0" collapsed="false">
      <c r="B16" s="9" t="s">
        <v>19</v>
      </c>
      <c r="C16" s="5" t="s">
        <v>20</v>
      </c>
    </row>
    <row r="17" customFormat="false" ht="15" hidden="false" customHeight="false" outlineLevel="0" collapsed="false">
      <c r="B17" s="10" t="s">
        <v>21</v>
      </c>
      <c r="C17" s="5" t="s">
        <v>22</v>
      </c>
    </row>
    <row r="18" customFormat="false" ht="15" hidden="false" customHeight="false" outlineLevel="0" collapsed="false">
      <c r="B18" s="4" t="s">
        <v>23</v>
      </c>
      <c r="C18" s="5" t="s">
        <v>24</v>
      </c>
    </row>
    <row r="20" customFormat="false" ht="15" hidden="false" customHeight="false" outlineLevel="0" collapsed="false">
      <c r="B20" s="3" t="s">
        <v>25</v>
      </c>
    </row>
    <row r="21" customFormat="false" ht="23.85" hidden="false" customHeight="false" outlineLevel="0" collapsed="false">
      <c r="B21" s="4" t="s">
        <v>26</v>
      </c>
      <c r="C21" s="5" t="s">
        <v>27</v>
      </c>
    </row>
    <row r="22" customFormat="false" ht="15" hidden="false" customHeight="false" outlineLevel="0" collapsed="false">
      <c r="B22" s="4" t="s">
        <v>9</v>
      </c>
      <c r="C22" s="5" t="s">
        <v>28</v>
      </c>
    </row>
    <row r="24" customFormat="false" ht="15" hidden="false" customHeight="false" outlineLevel="0" collapsed="false">
      <c r="B24" s="3" t="s">
        <v>29</v>
      </c>
    </row>
    <row r="25" customFormat="false" ht="22.35" hidden="false" customHeight="false" outlineLevel="0" collapsed="false">
      <c r="C25" s="11" t="s">
        <v>30</v>
      </c>
    </row>
    <row r="26" customFormat="false" ht="22.35" hidden="false" customHeight="false" outlineLevel="0" collapsed="false">
      <c r="C26" s="11" t="s">
        <v>31</v>
      </c>
    </row>
    <row r="27" customFormat="false" ht="15" hidden="false" customHeight="false" outlineLevel="0" collapsed="false">
      <c r="C27" s="11" t="s">
        <v>32</v>
      </c>
    </row>
    <row r="28" customFormat="false" ht="22.35" hidden="false" customHeight="false" outlineLevel="0" collapsed="false">
      <c r="C28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4" min="4" style="0" width="6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34"/>
    <col collapsed="false" customWidth="true" hidden="false" outlineLevel="0" max="16" min="16" style="0" width="24"/>
    <col collapsed="false" customWidth="true" hidden="false" outlineLevel="0" max="18" min="17" style="0" width="10"/>
    <col collapsed="false" customWidth="true" hidden="false" outlineLevel="0" max="19" min="19" style="0" width="9"/>
    <col collapsed="false" customWidth="true" hidden="false" outlineLevel="0" max="20" min="20" style="0" width="13"/>
    <col collapsed="false" customWidth="true" hidden="false" outlineLevel="0" max="21" min="21" style="0" width="48"/>
  </cols>
  <sheetData>
    <row r="1" customFormat="false" ht="17.35" hidden="false" customHeight="false" outlineLevel="0" collapsed="false">
      <c r="A1" s="12" t="s">
        <v>34</v>
      </c>
    </row>
    <row r="2" customFormat="false" ht="15" hidden="false" customHeight="false" outlineLevel="0" collapsed="false">
      <c r="A2" s="2" t="str">
        <f aca="false">"Margem padrão sobre o custo: "&amp;TEXT(Config!$C$3,"0%")&amp;"   ·   Artigos: "&amp;COUNTA(A5:A1000)&amp;"   ·   Fiabilidade A/B/C: "&amp;COUNTIF(R5:R1000,"A")&amp;" / "&amp;COUNTIF(R5:R1000,"B")&amp;" / "&amp;COUNTIF(R5:R1000,"C")</f>
        <v>Margem padrão sobre o custo: 20%   ·   Artigos: 147   ·   Fiabilidade A/B/C: 0 / 32 / 115</v>
      </c>
    </row>
    <row r="4" customFormat="false" ht="42" hidden="false" customHeight="true" outlineLevel="0" collapsed="false">
      <c r="A4" s="13" t="s">
        <v>35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40</v>
      </c>
      <c r="G4" s="13" t="s">
        <v>41</v>
      </c>
      <c r="H4" s="13" t="s">
        <v>42</v>
      </c>
      <c r="I4" s="13" t="s">
        <v>43</v>
      </c>
      <c r="J4" s="13" t="s">
        <v>44</v>
      </c>
      <c r="K4" s="13" t="s">
        <v>45</v>
      </c>
      <c r="L4" s="13" t="s">
        <v>46</v>
      </c>
      <c r="M4" s="13" t="s">
        <v>47</v>
      </c>
      <c r="N4" s="13" t="s">
        <v>48</v>
      </c>
      <c r="O4" s="13" t="s">
        <v>49</v>
      </c>
      <c r="P4" s="13" t="s">
        <v>50</v>
      </c>
      <c r="Q4" s="13" t="s">
        <v>51</v>
      </c>
      <c r="R4" s="13" t="s">
        <v>52</v>
      </c>
      <c r="S4" s="13" t="s">
        <v>53</v>
      </c>
      <c r="T4" s="13" t="s">
        <v>54</v>
      </c>
      <c r="U4" s="13" t="s">
        <v>55</v>
      </c>
    </row>
    <row r="5" customFormat="false" ht="23.85" hidden="false" customHeight="false" outlineLevel="0" collapsed="false">
      <c r="A5" s="14" t="s">
        <v>56</v>
      </c>
      <c r="B5" s="15" t="s">
        <v>57</v>
      </c>
      <c r="C5" s="14" t="s">
        <v>58</v>
      </c>
      <c r="D5" s="14" t="s">
        <v>59</v>
      </c>
      <c r="E5" s="16"/>
      <c r="F5" s="16"/>
      <c r="G5" s="16"/>
      <c r="H5" s="16"/>
      <c r="I5" s="16" t="n">
        <v>350</v>
      </c>
      <c r="J5" s="17" t="n">
        <f aca="false">IF(AND(A5="",B5=""),"",IF(SUM(E5:H5)&gt;0,SUM(E5:H5),I5))</f>
        <v>350</v>
      </c>
      <c r="K5" s="17" t="n">
        <f aca="false">IF(J5="","",ROUND(IF(SUM(E5:H5)&gt;0,E5*(1+Config!$C$4)+F5*(1+Config!$C$5)+G5*(1+Config!$C$6)+H5*(1+Config!$C$7),I5*(1+Config!$C$8)),2))</f>
        <v>357</v>
      </c>
      <c r="L5" s="18"/>
      <c r="M5" s="19" t="n">
        <f aca="false">IF(J5="","",IF(L5="",Config!$C$3,L5))</f>
        <v>0.2</v>
      </c>
      <c r="N5" s="20" t="n">
        <f aca="false">IF(K5="","",ROUND(K5*(1+M5),2))</f>
        <v>428.4</v>
      </c>
      <c r="O5" s="21" t="s">
        <v>60</v>
      </c>
      <c r="P5" s="21" t="s">
        <v>61</v>
      </c>
      <c r="Q5" s="22" t="s">
        <v>62</v>
      </c>
      <c r="R5" s="22" t="s">
        <v>14</v>
      </c>
      <c r="S5" s="23" t="n">
        <f aca="false">IF(A5="","",COUNTIF(Registo!$B$2:$B$501,A5))</f>
        <v>0</v>
      </c>
      <c r="T5" s="17" t="str">
        <f aca="false">IF(OR(A5="",S5=0),"",LOOKUP(2,1/(Registo!$B$2:$B$501=A5),Registo!$E$2:$E$501))</f>
        <v/>
      </c>
      <c r="U5" s="24" t="s">
        <v>63</v>
      </c>
    </row>
    <row r="6" customFormat="false" ht="23.85" hidden="false" customHeight="false" outlineLevel="0" collapsed="false">
      <c r="A6" s="14" t="s">
        <v>64</v>
      </c>
      <c r="B6" s="15" t="s">
        <v>65</v>
      </c>
      <c r="C6" s="14" t="s">
        <v>58</v>
      </c>
      <c r="D6" s="14" t="s">
        <v>59</v>
      </c>
      <c r="E6" s="16"/>
      <c r="F6" s="16"/>
      <c r="G6" s="16"/>
      <c r="H6" s="16"/>
      <c r="I6" s="16" t="n">
        <v>500</v>
      </c>
      <c r="J6" s="17" t="n">
        <f aca="false">IF(AND(A6="",B6=""),"",IF(SUM(E6:H6)&gt;0,SUM(E6:H6),I6))</f>
        <v>500</v>
      </c>
      <c r="K6" s="17" t="n">
        <f aca="false">IF(J6="","",ROUND(IF(SUM(E6:H6)&gt;0,E6*(1+Config!$C$4)+F6*(1+Config!$C$5)+G6*(1+Config!$C$6)+H6*(1+Config!$C$7),I6*(1+Config!$C$8)),2))</f>
        <v>510</v>
      </c>
      <c r="L6" s="18"/>
      <c r="M6" s="19" t="n">
        <f aca="false">IF(J6="","",IF(L6="",Config!$C$3,L6))</f>
        <v>0.2</v>
      </c>
      <c r="N6" s="20" t="n">
        <f aca="false">IF(K6="","",ROUND(K6*(1+M6),2))</f>
        <v>612</v>
      </c>
      <c r="O6" s="21" t="s">
        <v>60</v>
      </c>
      <c r="P6" s="21" t="s">
        <v>61</v>
      </c>
      <c r="Q6" s="22" t="s">
        <v>62</v>
      </c>
      <c r="R6" s="22" t="s">
        <v>14</v>
      </c>
      <c r="S6" s="23" t="n">
        <f aca="false">IF(A6="","",COUNTIF(Registo!$B$2:$B$501,A6))</f>
        <v>0</v>
      </c>
      <c r="T6" s="17" t="str">
        <f aca="false">IF(OR(A6="",S6=0),"",LOOKUP(2,1/(Registo!$B$2:$B$501=A6),Registo!$E$2:$E$501))</f>
        <v/>
      </c>
      <c r="U6" s="24" t="s">
        <v>63</v>
      </c>
    </row>
    <row r="7" customFormat="false" ht="23.85" hidden="false" customHeight="false" outlineLevel="0" collapsed="false">
      <c r="A7" s="14" t="s">
        <v>66</v>
      </c>
      <c r="B7" s="15" t="s">
        <v>67</v>
      </c>
      <c r="C7" s="14" t="s">
        <v>68</v>
      </c>
      <c r="D7" s="14" t="s">
        <v>69</v>
      </c>
      <c r="E7" s="16"/>
      <c r="F7" s="16"/>
      <c r="G7" s="16"/>
      <c r="H7" s="16"/>
      <c r="I7" s="16" t="n">
        <v>12</v>
      </c>
      <c r="J7" s="17" t="n">
        <f aca="false">IF(AND(A7="",B7=""),"",IF(SUM(E7:H7)&gt;0,SUM(E7:H7),I7))</f>
        <v>12</v>
      </c>
      <c r="K7" s="17" t="n">
        <f aca="false">IF(J7="","",ROUND(IF(SUM(E7:H7)&gt;0,E7*(1+Config!$C$4)+F7*(1+Config!$C$5)+G7*(1+Config!$C$6)+H7*(1+Config!$C$7),I7*(1+Config!$C$8)),2))</f>
        <v>12.24</v>
      </c>
      <c r="L7" s="18"/>
      <c r="M7" s="19" t="n">
        <f aca="false">IF(J7="","",IF(L7="",Config!$C$3,L7))</f>
        <v>0.2</v>
      </c>
      <c r="N7" s="20" t="n">
        <f aca="false">IF(K7="","",ROUND(K7*(1+M7),2))</f>
        <v>14.69</v>
      </c>
      <c r="O7" s="21" t="s">
        <v>70</v>
      </c>
      <c r="P7" s="21"/>
      <c r="Q7" s="22" t="s">
        <v>71</v>
      </c>
      <c r="R7" s="22" t="s">
        <v>16</v>
      </c>
      <c r="S7" s="23" t="n">
        <f aca="false">IF(A7="","",COUNTIF(Registo!$B$2:$B$501,A7))</f>
        <v>0</v>
      </c>
      <c r="T7" s="17" t="str">
        <f aca="false">IF(OR(A7="",S7=0),"",LOOKUP(2,1/(Registo!$B$2:$B$501=A7),Registo!$E$2:$E$501))</f>
        <v/>
      </c>
      <c r="U7" s="24"/>
    </row>
    <row r="8" customFormat="false" ht="23.85" hidden="false" customHeight="false" outlineLevel="0" collapsed="false">
      <c r="A8" s="14" t="s">
        <v>72</v>
      </c>
      <c r="B8" s="15" t="s">
        <v>73</v>
      </c>
      <c r="C8" s="14" t="s">
        <v>68</v>
      </c>
      <c r="D8" s="14" t="s">
        <v>69</v>
      </c>
      <c r="E8" s="16"/>
      <c r="F8" s="16"/>
      <c r="G8" s="16"/>
      <c r="H8" s="16"/>
      <c r="I8" s="16" t="n">
        <v>18</v>
      </c>
      <c r="J8" s="17" t="n">
        <f aca="false">IF(AND(A8="",B8=""),"",IF(SUM(E8:H8)&gt;0,SUM(E8:H8),I8))</f>
        <v>18</v>
      </c>
      <c r="K8" s="17" t="n">
        <f aca="false">IF(J8="","",ROUND(IF(SUM(E8:H8)&gt;0,E8*(1+Config!$C$4)+F8*(1+Config!$C$5)+G8*(1+Config!$C$6)+H8*(1+Config!$C$7),I8*(1+Config!$C$8)),2))</f>
        <v>18.36</v>
      </c>
      <c r="L8" s="18"/>
      <c r="M8" s="19" t="n">
        <f aca="false">IF(J8="","",IF(L8="",Config!$C$3,L8))</f>
        <v>0.2</v>
      </c>
      <c r="N8" s="20" t="n">
        <f aca="false">IF(K8="","",ROUND(K8*(1+M8),2))</f>
        <v>22.03</v>
      </c>
      <c r="O8" s="21" t="s">
        <v>70</v>
      </c>
      <c r="P8" s="21"/>
      <c r="Q8" s="22" t="s">
        <v>71</v>
      </c>
      <c r="R8" s="22" t="s">
        <v>16</v>
      </c>
      <c r="S8" s="23" t="n">
        <f aca="false">IF(A8="","",COUNTIF(Registo!$B$2:$B$501,A8))</f>
        <v>0</v>
      </c>
      <c r="T8" s="17" t="str">
        <f aca="false">IF(OR(A8="",S8=0),"",LOOKUP(2,1/(Registo!$B$2:$B$501=A8),Registo!$E$2:$E$501))</f>
        <v/>
      </c>
      <c r="U8" s="24"/>
    </row>
    <row r="9" customFormat="false" ht="23.85" hidden="false" customHeight="false" outlineLevel="0" collapsed="false">
      <c r="A9" s="14" t="s">
        <v>74</v>
      </c>
      <c r="B9" s="15" t="s">
        <v>75</v>
      </c>
      <c r="C9" s="14" t="s">
        <v>68</v>
      </c>
      <c r="D9" s="14" t="s">
        <v>69</v>
      </c>
      <c r="E9" s="16"/>
      <c r="F9" s="16"/>
      <c r="G9" s="16"/>
      <c r="H9" s="16"/>
      <c r="I9" s="16" t="n">
        <v>14</v>
      </c>
      <c r="J9" s="17" t="n">
        <f aca="false">IF(AND(A9="",B9=""),"",IF(SUM(E9:H9)&gt;0,SUM(E9:H9),I9))</f>
        <v>14</v>
      </c>
      <c r="K9" s="17" t="n">
        <f aca="false">IF(J9="","",ROUND(IF(SUM(E9:H9)&gt;0,E9*(1+Config!$C$4)+F9*(1+Config!$C$5)+G9*(1+Config!$C$6)+H9*(1+Config!$C$7),I9*(1+Config!$C$8)),2))</f>
        <v>14.28</v>
      </c>
      <c r="L9" s="18"/>
      <c r="M9" s="19" t="n">
        <f aca="false">IF(J9="","",IF(L9="",Config!$C$3,L9))</f>
        <v>0.2</v>
      </c>
      <c r="N9" s="20" t="n">
        <f aca="false">IF(K9="","",ROUND(K9*(1+M9),2))</f>
        <v>17.14</v>
      </c>
      <c r="O9" s="21" t="s">
        <v>70</v>
      </c>
      <c r="P9" s="21"/>
      <c r="Q9" s="22" t="s">
        <v>71</v>
      </c>
      <c r="R9" s="22" t="s">
        <v>16</v>
      </c>
      <c r="S9" s="23" t="n">
        <f aca="false">IF(A9="","",COUNTIF(Registo!$B$2:$B$501,A9))</f>
        <v>0</v>
      </c>
      <c r="T9" s="17" t="str">
        <f aca="false">IF(OR(A9="",S9=0),"",LOOKUP(2,1/(Registo!$B$2:$B$501=A9),Registo!$E$2:$E$501))</f>
        <v/>
      </c>
      <c r="U9" s="24"/>
    </row>
    <row r="10" customFormat="false" ht="23.85" hidden="false" customHeight="false" outlineLevel="0" collapsed="false">
      <c r="A10" s="14" t="s">
        <v>76</v>
      </c>
      <c r="B10" s="15" t="s">
        <v>77</v>
      </c>
      <c r="C10" s="14" t="s">
        <v>68</v>
      </c>
      <c r="D10" s="14" t="s">
        <v>69</v>
      </c>
      <c r="E10" s="16"/>
      <c r="F10" s="16"/>
      <c r="G10" s="16"/>
      <c r="H10" s="16"/>
      <c r="I10" s="16" t="n">
        <v>55</v>
      </c>
      <c r="J10" s="17" t="n">
        <f aca="false">IF(AND(A10="",B10=""),"",IF(SUM(E10:H10)&gt;0,SUM(E10:H10),I10))</f>
        <v>55</v>
      </c>
      <c r="K10" s="17" t="n">
        <f aca="false">IF(J10="","",ROUND(IF(SUM(E10:H10)&gt;0,E10*(1+Config!$C$4)+F10*(1+Config!$C$5)+G10*(1+Config!$C$6)+H10*(1+Config!$C$7),I10*(1+Config!$C$8)),2))</f>
        <v>56.1</v>
      </c>
      <c r="L10" s="18"/>
      <c r="M10" s="19" t="n">
        <f aca="false">IF(J10="","",IF(L10="",Config!$C$3,L10))</f>
        <v>0.2</v>
      </c>
      <c r="N10" s="20" t="n">
        <f aca="false">IF(K10="","",ROUND(K10*(1+M10),2))</f>
        <v>67.32</v>
      </c>
      <c r="O10" s="21" t="s">
        <v>70</v>
      </c>
      <c r="P10" s="21"/>
      <c r="Q10" s="22" t="s">
        <v>71</v>
      </c>
      <c r="R10" s="22" t="s">
        <v>16</v>
      </c>
      <c r="S10" s="23" t="n">
        <f aca="false">IF(A10="","",COUNTIF(Registo!$B$2:$B$501,A10))</f>
        <v>0</v>
      </c>
      <c r="T10" s="17" t="str">
        <f aca="false">IF(OR(A10="",S10=0),"",LOOKUP(2,1/(Registo!$B$2:$B$501=A10),Registo!$E$2:$E$501))</f>
        <v/>
      </c>
      <c r="U10" s="24"/>
    </row>
    <row r="11" customFormat="false" ht="23.85" hidden="false" customHeight="false" outlineLevel="0" collapsed="false">
      <c r="A11" s="14" t="s">
        <v>78</v>
      </c>
      <c r="B11" s="15" t="s">
        <v>79</v>
      </c>
      <c r="C11" s="14" t="s">
        <v>68</v>
      </c>
      <c r="D11" s="14" t="s">
        <v>69</v>
      </c>
      <c r="E11" s="16"/>
      <c r="F11" s="16"/>
      <c r="G11" s="16"/>
      <c r="H11" s="16"/>
      <c r="I11" s="16" t="n">
        <v>32</v>
      </c>
      <c r="J11" s="17" t="n">
        <f aca="false">IF(AND(A11="",B11=""),"",IF(SUM(E11:H11)&gt;0,SUM(E11:H11),I11))</f>
        <v>32</v>
      </c>
      <c r="K11" s="17" t="n">
        <f aca="false">IF(J11="","",ROUND(IF(SUM(E11:H11)&gt;0,E11*(1+Config!$C$4)+F11*(1+Config!$C$5)+G11*(1+Config!$C$6)+H11*(1+Config!$C$7),I11*(1+Config!$C$8)),2))</f>
        <v>32.64</v>
      </c>
      <c r="L11" s="18"/>
      <c r="M11" s="19" t="n">
        <f aca="false">IF(J11="","",IF(L11="",Config!$C$3,L11))</f>
        <v>0.2</v>
      </c>
      <c r="N11" s="20" t="n">
        <f aca="false">IF(K11="","",ROUND(K11*(1+M11),2))</f>
        <v>39.17</v>
      </c>
      <c r="O11" s="21" t="s">
        <v>70</v>
      </c>
      <c r="P11" s="21"/>
      <c r="Q11" s="22" t="s">
        <v>71</v>
      </c>
      <c r="R11" s="22" t="s">
        <v>16</v>
      </c>
      <c r="S11" s="23" t="n">
        <f aca="false">IF(A11="","",COUNTIF(Registo!$B$2:$B$501,A11))</f>
        <v>0</v>
      </c>
      <c r="T11" s="17" t="str">
        <f aca="false">IF(OR(A11="",S11=0),"",LOOKUP(2,1/(Registo!$B$2:$B$501=A11),Registo!$E$2:$E$501))</f>
        <v/>
      </c>
      <c r="U11" s="24"/>
    </row>
    <row r="12" customFormat="false" ht="23.85" hidden="false" customHeight="false" outlineLevel="0" collapsed="false">
      <c r="A12" s="14" t="s">
        <v>80</v>
      </c>
      <c r="B12" s="15" t="s">
        <v>81</v>
      </c>
      <c r="C12" s="14" t="s">
        <v>68</v>
      </c>
      <c r="D12" s="14" t="s">
        <v>69</v>
      </c>
      <c r="E12" s="16"/>
      <c r="F12" s="16"/>
      <c r="G12" s="16"/>
      <c r="H12" s="16"/>
      <c r="I12" s="16" t="n">
        <v>26</v>
      </c>
      <c r="J12" s="17" t="n">
        <f aca="false">IF(AND(A12="",B12=""),"",IF(SUM(E12:H12)&gt;0,SUM(E12:H12),I12))</f>
        <v>26</v>
      </c>
      <c r="K12" s="17" t="n">
        <f aca="false">IF(J12="","",ROUND(IF(SUM(E12:H12)&gt;0,E12*(1+Config!$C$4)+F12*(1+Config!$C$5)+G12*(1+Config!$C$6)+H12*(1+Config!$C$7),I12*(1+Config!$C$8)),2))</f>
        <v>26.52</v>
      </c>
      <c r="L12" s="18"/>
      <c r="M12" s="19" t="n">
        <f aca="false">IF(J12="","",IF(L12="",Config!$C$3,L12))</f>
        <v>0.2</v>
      </c>
      <c r="N12" s="20" t="n">
        <f aca="false">IF(K12="","",ROUND(K12*(1+M12),2))</f>
        <v>31.82</v>
      </c>
      <c r="O12" s="21" t="s">
        <v>70</v>
      </c>
      <c r="P12" s="21"/>
      <c r="Q12" s="22" t="s">
        <v>71</v>
      </c>
      <c r="R12" s="22" t="s">
        <v>16</v>
      </c>
      <c r="S12" s="23" t="n">
        <f aca="false">IF(A12="","",COUNTIF(Registo!$B$2:$B$501,A12))</f>
        <v>0</v>
      </c>
      <c r="T12" s="17" t="str">
        <f aca="false">IF(OR(A12="",S12=0),"",LOOKUP(2,1/(Registo!$B$2:$B$501=A12),Registo!$E$2:$E$501))</f>
        <v/>
      </c>
      <c r="U12" s="24"/>
    </row>
    <row r="13" customFormat="false" ht="23.85" hidden="false" customHeight="false" outlineLevel="0" collapsed="false">
      <c r="A13" s="14" t="s">
        <v>82</v>
      </c>
      <c r="B13" s="15" t="s">
        <v>83</v>
      </c>
      <c r="C13" s="14" t="s">
        <v>68</v>
      </c>
      <c r="D13" s="14" t="s">
        <v>69</v>
      </c>
      <c r="E13" s="16"/>
      <c r="F13" s="16"/>
      <c r="G13" s="16"/>
      <c r="H13" s="16"/>
      <c r="I13" s="16" t="n">
        <v>18</v>
      </c>
      <c r="J13" s="17" t="n">
        <f aca="false">IF(AND(A13="",B13=""),"",IF(SUM(E13:H13)&gt;0,SUM(E13:H13),I13))</f>
        <v>18</v>
      </c>
      <c r="K13" s="17" t="n">
        <f aca="false">IF(J13="","",ROUND(IF(SUM(E13:H13)&gt;0,E13*(1+Config!$C$4)+F13*(1+Config!$C$5)+G13*(1+Config!$C$6)+H13*(1+Config!$C$7),I13*(1+Config!$C$8)),2))</f>
        <v>18.36</v>
      </c>
      <c r="L13" s="18"/>
      <c r="M13" s="19" t="n">
        <f aca="false">IF(J13="","",IF(L13="",Config!$C$3,L13))</f>
        <v>0.2</v>
      </c>
      <c r="N13" s="20" t="n">
        <f aca="false">IF(K13="","",ROUND(K13*(1+M13),2))</f>
        <v>22.03</v>
      </c>
      <c r="O13" s="21" t="s">
        <v>70</v>
      </c>
      <c r="P13" s="21"/>
      <c r="Q13" s="22" t="s">
        <v>71</v>
      </c>
      <c r="R13" s="22" t="s">
        <v>16</v>
      </c>
      <c r="S13" s="23" t="n">
        <f aca="false">IF(A13="","",COUNTIF(Registo!$B$2:$B$501,A13))</f>
        <v>0</v>
      </c>
      <c r="T13" s="17" t="str">
        <f aca="false">IF(OR(A13="",S13=0),"",LOOKUP(2,1/(Registo!$B$2:$B$501=A13),Registo!$E$2:$E$501))</f>
        <v/>
      </c>
      <c r="U13" s="24"/>
    </row>
    <row r="14" customFormat="false" ht="23.85" hidden="false" customHeight="false" outlineLevel="0" collapsed="false">
      <c r="A14" s="14" t="s">
        <v>84</v>
      </c>
      <c r="B14" s="15" t="s">
        <v>85</v>
      </c>
      <c r="C14" s="14" t="s">
        <v>68</v>
      </c>
      <c r="D14" s="14" t="s">
        <v>69</v>
      </c>
      <c r="E14" s="16"/>
      <c r="F14" s="16"/>
      <c r="G14" s="16"/>
      <c r="H14" s="16"/>
      <c r="I14" s="16" t="n">
        <v>22</v>
      </c>
      <c r="J14" s="17" t="n">
        <f aca="false">IF(AND(A14="",B14=""),"",IF(SUM(E14:H14)&gt;0,SUM(E14:H14),I14))</f>
        <v>22</v>
      </c>
      <c r="K14" s="17" t="n">
        <f aca="false">IF(J14="","",ROUND(IF(SUM(E14:H14)&gt;0,E14*(1+Config!$C$4)+F14*(1+Config!$C$5)+G14*(1+Config!$C$6)+H14*(1+Config!$C$7),I14*(1+Config!$C$8)),2))</f>
        <v>22.44</v>
      </c>
      <c r="L14" s="18"/>
      <c r="M14" s="19" t="n">
        <f aca="false">IF(J14="","",IF(L14="",Config!$C$3,L14))</f>
        <v>0.2</v>
      </c>
      <c r="N14" s="20" t="n">
        <f aca="false">IF(K14="","",ROUND(K14*(1+M14),2))</f>
        <v>26.93</v>
      </c>
      <c r="O14" s="21" t="s">
        <v>70</v>
      </c>
      <c r="P14" s="21"/>
      <c r="Q14" s="22" t="s">
        <v>71</v>
      </c>
      <c r="R14" s="22" t="s">
        <v>16</v>
      </c>
      <c r="S14" s="23" t="n">
        <f aca="false">IF(A14="","",COUNTIF(Registo!$B$2:$B$501,A14))</f>
        <v>0</v>
      </c>
      <c r="T14" s="17" t="str">
        <f aca="false">IF(OR(A14="",S14=0),"",LOOKUP(2,1/(Registo!$B$2:$B$501=A14),Registo!$E$2:$E$501))</f>
        <v/>
      </c>
      <c r="U14" s="24"/>
    </row>
    <row r="15" customFormat="false" ht="23.85" hidden="false" customHeight="false" outlineLevel="0" collapsed="false">
      <c r="A15" s="14" t="s">
        <v>86</v>
      </c>
      <c r="B15" s="15" t="s">
        <v>87</v>
      </c>
      <c r="C15" s="14" t="s">
        <v>68</v>
      </c>
      <c r="D15" s="14" t="s">
        <v>69</v>
      </c>
      <c r="E15" s="16"/>
      <c r="F15" s="16"/>
      <c r="G15" s="16"/>
      <c r="H15" s="16"/>
      <c r="I15" s="16" t="n">
        <v>65</v>
      </c>
      <c r="J15" s="17" t="n">
        <f aca="false">IF(AND(A15="",B15=""),"",IF(SUM(E15:H15)&gt;0,SUM(E15:H15),I15))</f>
        <v>65</v>
      </c>
      <c r="K15" s="17" t="n">
        <f aca="false">IF(J15="","",ROUND(IF(SUM(E15:H15)&gt;0,E15*(1+Config!$C$4)+F15*(1+Config!$C$5)+G15*(1+Config!$C$6)+H15*(1+Config!$C$7),I15*(1+Config!$C$8)),2))</f>
        <v>66.3</v>
      </c>
      <c r="L15" s="18"/>
      <c r="M15" s="19" t="n">
        <f aca="false">IF(J15="","",IF(L15="",Config!$C$3,L15))</f>
        <v>0.2</v>
      </c>
      <c r="N15" s="20" t="n">
        <f aca="false">IF(K15="","",ROUND(K15*(1+M15),2))</f>
        <v>79.56</v>
      </c>
      <c r="O15" s="21" t="s">
        <v>70</v>
      </c>
      <c r="P15" s="21"/>
      <c r="Q15" s="22" t="s">
        <v>71</v>
      </c>
      <c r="R15" s="22" t="s">
        <v>16</v>
      </c>
      <c r="S15" s="23" t="n">
        <f aca="false">IF(A15="","",COUNTIF(Registo!$B$2:$B$501,A15))</f>
        <v>0</v>
      </c>
      <c r="T15" s="17" t="str">
        <f aca="false">IF(OR(A15="",S15=0),"",LOOKUP(2,1/(Registo!$B$2:$B$501=A15),Registo!$E$2:$E$501))</f>
        <v/>
      </c>
      <c r="U15" s="24"/>
    </row>
    <row r="16" customFormat="false" ht="23.85" hidden="false" customHeight="false" outlineLevel="0" collapsed="false">
      <c r="A16" s="14" t="s">
        <v>88</v>
      </c>
      <c r="B16" s="15" t="s">
        <v>89</v>
      </c>
      <c r="C16" s="14" t="s">
        <v>68</v>
      </c>
      <c r="D16" s="14" t="s">
        <v>69</v>
      </c>
      <c r="E16" s="16"/>
      <c r="F16" s="16"/>
      <c r="G16" s="16"/>
      <c r="H16" s="16"/>
      <c r="I16" s="16" t="n">
        <v>72</v>
      </c>
      <c r="J16" s="17" t="n">
        <f aca="false">IF(AND(A16="",B16=""),"",IF(SUM(E16:H16)&gt;0,SUM(E16:H16),I16))</f>
        <v>72</v>
      </c>
      <c r="K16" s="17" t="n">
        <f aca="false">IF(J16="","",ROUND(IF(SUM(E16:H16)&gt;0,E16*(1+Config!$C$4)+F16*(1+Config!$C$5)+G16*(1+Config!$C$6)+H16*(1+Config!$C$7),I16*(1+Config!$C$8)),2))</f>
        <v>73.44</v>
      </c>
      <c r="L16" s="18"/>
      <c r="M16" s="19" t="n">
        <f aca="false">IF(J16="","",IF(L16="",Config!$C$3,L16))</f>
        <v>0.2</v>
      </c>
      <c r="N16" s="20" t="n">
        <f aca="false">IF(K16="","",ROUND(K16*(1+M16),2))</f>
        <v>88.13</v>
      </c>
      <c r="O16" s="21" t="s">
        <v>70</v>
      </c>
      <c r="P16" s="21"/>
      <c r="Q16" s="22" t="s">
        <v>71</v>
      </c>
      <c r="R16" s="22" t="s">
        <v>16</v>
      </c>
      <c r="S16" s="23" t="n">
        <f aca="false">IF(A16="","",COUNTIF(Registo!$B$2:$B$501,A16))</f>
        <v>0</v>
      </c>
      <c r="T16" s="17" t="str">
        <f aca="false">IF(OR(A16="",S16=0),"",LOOKUP(2,1/(Registo!$B$2:$B$501=A16),Registo!$E$2:$E$501))</f>
        <v/>
      </c>
      <c r="U16" s="24"/>
    </row>
    <row r="17" customFormat="false" ht="23.85" hidden="false" customHeight="false" outlineLevel="0" collapsed="false">
      <c r="A17" s="14" t="s">
        <v>90</v>
      </c>
      <c r="B17" s="15" t="s">
        <v>91</v>
      </c>
      <c r="C17" s="14" t="s">
        <v>68</v>
      </c>
      <c r="D17" s="14" t="s">
        <v>69</v>
      </c>
      <c r="E17" s="16"/>
      <c r="F17" s="16"/>
      <c r="G17" s="16"/>
      <c r="H17" s="16"/>
      <c r="I17" s="16" t="n">
        <v>28</v>
      </c>
      <c r="J17" s="17" t="n">
        <f aca="false">IF(AND(A17="",B17=""),"",IF(SUM(E17:H17)&gt;0,SUM(E17:H17),I17))</f>
        <v>28</v>
      </c>
      <c r="K17" s="17" t="n">
        <f aca="false">IF(J17="","",ROUND(IF(SUM(E17:H17)&gt;0,E17*(1+Config!$C$4)+F17*(1+Config!$C$5)+G17*(1+Config!$C$6)+H17*(1+Config!$C$7),I17*(1+Config!$C$8)),2))</f>
        <v>28.56</v>
      </c>
      <c r="L17" s="18"/>
      <c r="M17" s="19" t="n">
        <f aca="false">IF(J17="","",IF(L17="",Config!$C$3,L17))</f>
        <v>0.2</v>
      </c>
      <c r="N17" s="20" t="n">
        <f aca="false">IF(K17="","",ROUND(K17*(1+M17),2))</f>
        <v>34.27</v>
      </c>
      <c r="O17" s="21" t="s">
        <v>70</v>
      </c>
      <c r="P17" s="21"/>
      <c r="Q17" s="22" t="s">
        <v>71</v>
      </c>
      <c r="R17" s="22" t="s">
        <v>16</v>
      </c>
      <c r="S17" s="23" t="n">
        <f aca="false">IF(A17="","",COUNTIF(Registo!$B$2:$B$501,A17))</f>
        <v>0</v>
      </c>
      <c r="T17" s="17" t="str">
        <f aca="false">IF(OR(A17="",S17=0),"",LOOKUP(2,1/(Registo!$B$2:$B$501=A17),Registo!$E$2:$E$501))</f>
        <v/>
      </c>
      <c r="U17" s="24"/>
    </row>
    <row r="18" customFormat="false" ht="23.85" hidden="false" customHeight="false" outlineLevel="0" collapsed="false">
      <c r="A18" s="14" t="s">
        <v>92</v>
      </c>
      <c r="B18" s="15" t="s">
        <v>93</v>
      </c>
      <c r="C18" s="14" t="s">
        <v>68</v>
      </c>
      <c r="D18" s="14" t="s">
        <v>69</v>
      </c>
      <c r="E18" s="16"/>
      <c r="F18" s="16"/>
      <c r="G18" s="16"/>
      <c r="H18" s="16"/>
      <c r="I18" s="16" t="n">
        <v>32</v>
      </c>
      <c r="J18" s="17" t="n">
        <f aca="false">IF(AND(A18="",B18=""),"",IF(SUM(E18:H18)&gt;0,SUM(E18:H18),I18))</f>
        <v>32</v>
      </c>
      <c r="K18" s="17" t="n">
        <f aca="false">IF(J18="","",ROUND(IF(SUM(E18:H18)&gt;0,E18*(1+Config!$C$4)+F18*(1+Config!$C$5)+G18*(1+Config!$C$6)+H18*(1+Config!$C$7),I18*(1+Config!$C$8)),2))</f>
        <v>32.64</v>
      </c>
      <c r="L18" s="18"/>
      <c r="M18" s="19" t="n">
        <f aca="false">IF(J18="","",IF(L18="",Config!$C$3,L18))</f>
        <v>0.2</v>
      </c>
      <c r="N18" s="20" t="n">
        <f aca="false">IF(K18="","",ROUND(K18*(1+M18),2))</f>
        <v>39.17</v>
      </c>
      <c r="O18" s="21" t="s">
        <v>70</v>
      </c>
      <c r="P18" s="21"/>
      <c r="Q18" s="22" t="s">
        <v>71</v>
      </c>
      <c r="R18" s="22" t="s">
        <v>16</v>
      </c>
      <c r="S18" s="23" t="n">
        <f aca="false">IF(A18="","",COUNTIF(Registo!$B$2:$B$501,A18))</f>
        <v>0</v>
      </c>
      <c r="T18" s="17" t="str">
        <f aca="false">IF(OR(A18="",S18=0),"",LOOKUP(2,1/(Registo!$B$2:$B$501=A18),Registo!$E$2:$E$501))</f>
        <v/>
      </c>
      <c r="U18" s="24"/>
    </row>
    <row r="19" customFormat="false" ht="23.85" hidden="false" customHeight="false" outlineLevel="0" collapsed="false">
      <c r="A19" s="14" t="s">
        <v>94</v>
      </c>
      <c r="B19" s="15" t="s">
        <v>95</v>
      </c>
      <c r="C19" s="14" t="s">
        <v>68</v>
      </c>
      <c r="D19" s="14" t="s">
        <v>69</v>
      </c>
      <c r="E19" s="16"/>
      <c r="F19" s="16"/>
      <c r="G19" s="16"/>
      <c r="H19" s="16"/>
      <c r="I19" s="16" t="n">
        <v>25</v>
      </c>
      <c r="J19" s="17" t="n">
        <f aca="false">IF(AND(A19="",B19=""),"",IF(SUM(E19:H19)&gt;0,SUM(E19:H19),I19))</f>
        <v>25</v>
      </c>
      <c r="K19" s="17" t="n">
        <f aca="false">IF(J19="","",ROUND(IF(SUM(E19:H19)&gt;0,E19*(1+Config!$C$4)+F19*(1+Config!$C$5)+G19*(1+Config!$C$6)+H19*(1+Config!$C$7),I19*(1+Config!$C$8)),2))</f>
        <v>25.5</v>
      </c>
      <c r="L19" s="18"/>
      <c r="M19" s="19" t="n">
        <f aca="false">IF(J19="","",IF(L19="",Config!$C$3,L19))</f>
        <v>0.2</v>
      </c>
      <c r="N19" s="20" t="n">
        <f aca="false">IF(K19="","",ROUND(K19*(1+M19),2))</f>
        <v>30.6</v>
      </c>
      <c r="O19" s="21" t="s">
        <v>70</v>
      </c>
      <c r="P19" s="21"/>
      <c r="Q19" s="22" t="s">
        <v>71</v>
      </c>
      <c r="R19" s="22" t="s">
        <v>16</v>
      </c>
      <c r="S19" s="23" t="n">
        <f aca="false">IF(A19="","",COUNTIF(Registo!$B$2:$B$501,A19))</f>
        <v>0</v>
      </c>
      <c r="T19" s="17" t="str">
        <f aca="false">IF(OR(A19="",S19=0),"",LOOKUP(2,1/(Registo!$B$2:$B$501=A19),Registo!$E$2:$E$501))</f>
        <v/>
      </c>
      <c r="U19" s="24"/>
    </row>
    <row r="20" customFormat="false" ht="23.85" hidden="false" customHeight="false" outlineLevel="0" collapsed="false">
      <c r="A20" s="14" t="s">
        <v>96</v>
      </c>
      <c r="B20" s="15" t="s">
        <v>97</v>
      </c>
      <c r="C20" s="14" t="s">
        <v>68</v>
      </c>
      <c r="D20" s="14" t="s">
        <v>69</v>
      </c>
      <c r="E20" s="16"/>
      <c r="F20" s="16"/>
      <c r="G20" s="16"/>
      <c r="H20" s="16"/>
      <c r="I20" s="16" t="n">
        <v>22</v>
      </c>
      <c r="J20" s="17" t="n">
        <f aca="false">IF(AND(A20="",B20=""),"",IF(SUM(E20:H20)&gt;0,SUM(E20:H20),I20))</f>
        <v>22</v>
      </c>
      <c r="K20" s="17" t="n">
        <f aca="false">IF(J20="","",ROUND(IF(SUM(E20:H20)&gt;0,E20*(1+Config!$C$4)+F20*(1+Config!$C$5)+G20*(1+Config!$C$6)+H20*(1+Config!$C$7),I20*(1+Config!$C$8)),2))</f>
        <v>22.44</v>
      </c>
      <c r="L20" s="18"/>
      <c r="M20" s="19" t="n">
        <f aca="false">IF(J20="","",IF(L20="",Config!$C$3,L20))</f>
        <v>0.2</v>
      </c>
      <c r="N20" s="20" t="n">
        <f aca="false">IF(K20="","",ROUND(K20*(1+M20),2))</f>
        <v>26.93</v>
      </c>
      <c r="O20" s="21" t="s">
        <v>70</v>
      </c>
      <c r="P20" s="21"/>
      <c r="Q20" s="22" t="s">
        <v>71</v>
      </c>
      <c r="R20" s="22" t="s">
        <v>16</v>
      </c>
      <c r="S20" s="23" t="n">
        <f aca="false">IF(A20="","",COUNTIF(Registo!$B$2:$B$501,A20))</f>
        <v>0</v>
      </c>
      <c r="T20" s="17" t="str">
        <f aca="false">IF(OR(A20="",S20=0),"",LOOKUP(2,1/(Registo!$B$2:$B$501=A20),Registo!$E$2:$E$501))</f>
        <v/>
      </c>
      <c r="U20" s="24"/>
    </row>
    <row r="21" customFormat="false" ht="23.85" hidden="false" customHeight="false" outlineLevel="0" collapsed="false">
      <c r="A21" s="14" t="s">
        <v>98</v>
      </c>
      <c r="B21" s="15" t="s">
        <v>99</v>
      </c>
      <c r="C21" s="14" t="s">
        <v>68</v>
      </c>
      <c r="D21" s="14" t="s">
        <v>69</v>
      </c>
      <c r="E21" s="16"/>
      <c r="F21" s="16"/>
      <c r="G21" s="16"/>
      <c r="H21" s="16"/>
      <c r="I21" s="16" t="n">
        <v>28</v>
      </c>
      <c r="J21" s="17" t="n">
        <f aca="false">IF(AND(A21="",B21=""),"",IF(SUM(E21:H21)&gt;0,SUM(E21:H21),I21))</f>
        <v>28</v>
      </c>
      <c r="K21" s="17" t="n">
        <f aca="false">IF(J21="","",ROUND(IF(SUM(E21:H21)&gt;0,E21*(1+Config!$C$4)+F21*(1+Config!$C$5)+G21*(1+Config!$C$6)+H21*(1+Config!$C$7),I21*(1+Config!$C$8)),2))</f>
        <v>28.56</v>
      </c>
      <c r="L21" s="18"/>
      <c r="M21" s="19" t="n">
        <f aca="false">IF(J21="","",IF(L21="",Config!$C$3,L21))</f>
        <v>0.2</v>
      </c>
      <c r="N21" s="20" t="n">
        <f aca="false">IF(K21="","",ROUND(K21*(1+M21),2))</f>
        <v>34.27</v>
      </c>
      <c r="O21" s="21" t="s">
        <v>70</v>
      </c>
      <c r="P21" s="21"/>
      <c r="Q21" s="22" t="s">
        <v>71</v>
      </c>
      <c r="R21" s="22" t="s">
        <v>16</v>
      </c>
      <c r="S21" s="23" t="n">
        <f aca="false">IF(A21="","",COUNTIF(Registo!$B$2:$B$501,A21))</f>
        <v>0</v>
      </c>
      <c r="T21" s="17" t="str">
        <f aca="false">IF(OR(A21="",S21=0),"",LOOKUP(2,1/(Registo!$B$2:$B$501=A21),Registo!$E$2:$E$501))</f>
        <v/>
      </c>
      <c r="U21" s="24"/>
    </row>
    <row r="22" customFormat="false" ht="23.85" hidden="false" customHeight="false" outlineLevel="0" collapsed="false">
      <c r="A22" s="14" t="s">
        <v>100</v>
      </c>
      <c r="B22" s="15" t="s">
        <v>101</v>
      </c>
      <c r="C22" s="14" t="s">
        <v>68</v>
      </c>
      <c r="D22" s="14" t="s">
        <v>69</v>
      </c>
      <c r="E22" s="16"/>
      <c r="F22" s="16"/>
      <c r="G22" s="16"/>
      <c r="H22" s="16"/>
      <c r="I22" s="16" t="n">
        <v>85</v>
      </c>
      <c r="J22" s="17" t="n">
        <f aca="false">IF(AND(A22="",B22=""),"",IF(SUM(E22:H22)&gt;0,SUM(E22:H22),I22))</f>
        <v>85</v>
      </c>
      <c r="K22" s="17" t="n">
        <f aca="false">IF(J22="","",ROUND(IF(SUM(E22:H22)&gt;0,E22*(1+Config!$C$4)+F22*(1+Config!$C$5)+G22*(1+Config!$C$6)+H22*(1+Config!$C$7),I22*(1+Config!$C$8)),2))</f>
        <v>86.7</v>
      </c>
      <c r="L22" s="18"/>
      <c r="M22" s="19" t="n">
        <f aca="false">IF(J22="","",IF(L22="",Config!$C$3,L22))</f>
        <v>0.2</v>
      </c>
      <c r="N22" s="20" t="n">
        <f aca="false">IF(K22="","",ROUND(K22*(1+M22),2))</f>
        <v>104.04</v>
      </c>
      <c r="O22" s="21" t="s">
        <v>70</v>
      </c>
      <c r="P22" s="21"/>
      <c r="Q22" s="22" t="s">
        <v>71</v>
      </c>
      <c r="R22" s="22" t="s">
        <v>16</v>
      </c>
      <c r="S22" s="23" t="n">
        <f aca="false">IF(A22="","",COUNTIF(Registo!$B$2:$B$501,A22))</f>
        <v>0</v>
      </c>
      <c r="T22" s="17" t="str">
        <f aca="false">IF(OR(A22="",S22=0),"",LOOKUP(2,1/(Registo!$B$2:$B$501=A22),Registo!$E$2:$E$501))</f>
        <v/>
      </c>
      <c r="U22" s="24"/>
    </row>
    <row r="23" customFormat="false" ht="23.85" hidden="false" customHeight="false" outlineLevel="0" collapsed="false">
      <c r="A23" s="14" t="s">
        <v>102</v>
      </c>
      <c r="B23" s="15" t="s">
        <v>103</v>
      </c>
      <c r="C23" s="14" t="s">
        <v>68</v>
      </c>
      <c r="D23" s="14" t="s">
        <v>104</v>
      </c>
      <c r="E23" s="16"/>
      <c r="F23" s="16"/>
      <c r="G23" s="16"/>
      <c r="H23" s="16"/>
      <c r="I23" s="16" t="n">
        <v>6.5</v>
      </c>
      <c r="J23" s="17" t="n">
        <f aca="false">IF(AND(A23="",B23=""),"",IF(SUM(E23:H23)&gt;0,SUM(E23:H23),I23))</f>
        <v>6.5</v>
      </c>
      <c r="K23" s="17" t="n">
        <f aca="false">IF(J23="","",ROUND(IF(SUM(E23:H23)&gt;0,E23*(1+Config!$C$4)+F23*(1+Config!$C$5)+G23*(1+Config!$C$6)+H23*(1+Config!$C$7),I23*(1+Config!$C$8)),2))</f>
        <v>6.63</v>
      </c>
      <c r="L23" s="18"/>
      <c r="M23" s="19" t="n">
        <f aca="false">IF(J23="","",IF(L23="",Config!$C$3,L23))</f>
        <v>0.2</v>
      </c>
      <c r="N23" s="20" t="n">
        <f aca="false">IF(K23="","",ROUND(K23*(1+M23),2))</f>
        <v>7.96</v>
      </c>
      <c r="O23" s="21" t="s">
        <v>70</v>
      </c>
      <c r="P23" s="21"/>
      <c r="Q23" s="22" t="s">
        <v>71</v>
      </c>
      <c r="R23" s="22" t="s">
        <v>16</v>
      </c>
      <c r="S23" s="23" t="n">
        <f aca="false">IF(A23="","",COUNTIF(Registo!$B$2:$B$501,A23))</f>
        <v>0</v>
      </c>
      <c r="T23" s="17" t="str">
        <f aca="false">IF(OR(A23="",S23=0),"",LOOKUP(2,1/(Registo!$B$2:$B$501=A23),Registo!$E$2:$E$501))</f>
        <v/>
      </c>
      <c r="U23" s="24"/>
    </row>
    <row r="24" customFormat="false" ht="23.85" hidden="false" customHeight="false" outlineLevel="0" collapsed="false">
      <c r="A24" s="14" t="s">
        <v>105</v>
      </c>
      <c r="B24" s="15" t="s">
        <v>106</v>
      </c>
      <c r="C24" s="14" t="s">
        <v>68</v>
      </c>
      <c r="D24" s="14" t="s">
        <v>69</v>
      </c>
      <c r="E24" s="16"/>
      <c r="F24" s="16"/>
      <c r="G24" s="16"/>
      <c r="H24" s="16"/>
      <c r="I24" s="16" t="n">
        <v>28</v>
      </c>
      <c r="J24" s="17" t="n">
        <f aca="false">IF(AND(A24="",B24=""),"",IF(SUM(E24:H24)&gt;0,SUM(E24:H24),I24))</f>
        <v>28</v>
      </c>
      <c r="K24" s="17" t="n">
        <f aca="false">IF(J24="","",ROUND(IF(SUM(E24:H24)&gt;0,E24*(1+Config!$C$4)+F24*(1+Config!$C$5)+G24*(1+Config!$C$6)+H24*(1+Config!$C$7),I24*(1+Config!$C$8)),2))</f>
        <v>28.56</v>
      </c>
      <c r="L24" s="18"/>
      <c r="M24" s="19" t="n">
        <f aca="false">IF(J24="","",IF(L24="",Config!$C$3,L24))</f>
        <v>0.2</v>
      </c>
      <c r="N24" s="20" t="n">
        <f aca="false">IF(K24="","",ROUND(K24*(1+M24),2))</f>
        <v>34.27</v>
      </c>
      <c r="O24" s="21" t="s">
        <v>70</v>
      </c>
      <c r="P24" s="21"/>
      <c r="Q24" s="22" t="s">
        <v>71</v>
      </c>
      <c r="R24" s="22" t="s">
        <v>16</v>
      </c>
      <c r="S24" s="23" t="n">
        <f aca="false">IF(A24="","",COUNTIF(Registo!$B$2:$B$501,A24))</f>
        <v>0</v>
      </c>
      <c r="T24" s="17" t="str">
        <f aca="false">IF(OR(A24="",S24=0),"",LOOKUP(2,1/(Registo!$B$2:$B$501=A24),Registo!$E$2:$E$501))</f>
        <v/>
      </c>
      <c r="U24" s="24"/>
    </row>
    <row r="25" customFormat="false" ht="23.85" hidden="false" customHeight="false" outlineLevel="0" collapsed="false">
      <c r="A25" s="14" t="s">
        <v>107</v>
      </c>
      <c r="B25" s="15" t="s">
        <v>108</v>
      </c>
      <c r="C25" s="14" t="s">
        <v>68</v>
      </c>
      <c r="D25" s="14" t="s">
        <v>69</v>
      </c>
      <c r="E25" s="16"/>
      <c r="F25" s="16"/>
      <c r="G25" s="16"/>
      <c r="H25" s="16"/>
      <c r="I25" s="16" t="n">
        <v>32</v>
      </c>
      <c r="J25" s="17" t="n">
        <f aca="false">IF(AND(A25="",B25=""),"",IF(SUM(E25:H25)&gt;0,SUM(E25:H25),I25))</f>
        <v>32</v>
      </c>
      <c r="K25" s="17" t="n">
        <f aca="false">IF(J25="","",ROUND(IF(SUM(E25:H25)&gt;0,E25*(1+Config!$C$4)+F25*(1+Config!$C$5)+G25*(1+Config!$C$6)+H25*(1+Config!$C$7),I25*(1+Config!$C$8)),2))</f>
        <v>32.64</v>
      </c>
      <c r="L25" s="18"/>
      <c r="M25" s="19" t="n">
        <f aca="false">IF(J25="","",IF(L25="",Config!$C$3,L25))</f>
        <v>0.2</v>
      </c>
      <c r="N25" s="20" t="n">
        <f aca="false">IF(K25="","",ROUND(K25*(1+M25),2))</f>
        <v>39.17</v>
      </c>
      <c r="O25" s="21" t="s">
        <v>70</v>
      </c>
      <c r="P25" s="21"/>
      <c r="Q25" s="22" t="s">
        <v>71</v>
      </c>
      <c r="R25" s="22" t="s">
        <v>16</v>
      </c>
      <c r="S25" s="23" t="n">
        <f aca="false">IF(A25="","",COUNTIF(Registo!$B$2:$B$501,A25))</f>
        <v>0</v>
      </c>
      <c r="T25" s="17" t="str">
        <f aca="false">IF(OR(A25="",S25=0),"",LOOKUP(2,1/(Registo!$B$2:$B$501=A25),Registo!$E$2:$E$501))</f>
        <v/>
      </c>
      <c r="U25" s="24"/>
    </row>
    <row r="26" customFormat="false" ht="23.85" hidden="false" customHeight="false" outlineLevel="0" collapsed="false">
      <c r="A26" s="14" t="s">
        <v>109</v>
      </c>
      <c r="B26" s="15" t="s">
        <v>110</v>
      </c>
      <c r="C26" s="14" t="s">
        <v>68</v>
      </c>
      <c r="D26" s="14" t="s">
        <v>69</v>
      </c>
      <c r="E26" s="16"/>
      <c r="F26" s="16"/>
      <c r="G26" s="16"/>
      <c r="H26" s="16"/>
      <c r="I26" s="16" t="n">
        <v>55</v>
      </c>
      <c r="J26" s="17" t="n">
        <f aca="false">IF(AND(A26="",B26=""),"",IF(SUM(E26:H26)&gt;0,SUM(E26:H26),I26))</f>
        <v>55</v>
      </c>
      <c r="K26" s="17" t="n">
        <f aca="false">IF(J26="","",ROUND(IF(SUM(E26:H26)&gt;0,E26*(1+Config!$C$4)+F26*(1+Config!$C$5)+G26*(1+Config!$C$6)+H26*(1+Config!$C$7),I26*(1+Config!$C$8)),2))</f>
        <v>56.1</v>
      </c>
      <c r="L26" s="18"/>
      <c r="M26" s="19" t="n">
        <f aca="false">IF(J26="","",IF(L26="",Config!$C$3,L26))</f>
        <v>0.2</v>
      </c>
      <c r="N26" s="20" t="n">
        <f aca="false">IF(K26="","",ROUND(K26*(1+M26),2))</f>
        <v>67.32</v>
      </c>
      <c r="O26" s="21" t="s">
        <v>70</v>
      </c>
      <c r="P26" s="21"/>
      <c r="Q26" s="22" t="s">
        <v>71</v>
      </c>
      <c r="R26" s="22" t="s">
        <v>16</v>
      </c>
      <c r="S26" s="23" t="n">
        <f aca="false">IF(A26="","",COUNTIF(Registo!$B$2:$B$501,A26))</f>
        <v>0</v>
      </c>
      <c r="T26" s="17" t="str">
        <f aca="false">IF(OR(A26="",S26=0),"",LOOKUP(2,1/(Registo!$B$2:$B$501=A26),Registo!$E$2:$E$501))</f>
        <v/>
      </c>
      <c r="U26" s="24"/>
    </row>
    <row r="27" customFormat="false" ht="23.85" hidden="false" customHeight="false" outlineLevel="0" collapsed="false">
      <c r="A27" s="14" t="s">
        <v>111</v>
      </c>
      <c r="B27" s="15" t="s">
        <v>112</v>
      </c>
      <c r="C27" s="14" t="s">
        <v>68</v>
      </c>
      <c r="D27" s="14" t="s">
        <v>69</v>
      </c>
      <c r="E27" s="16"/>
      <c r="F27" s="16"/>
      <c r="G27" s="16"/>
      <c r="H27" s="16"/>
      <c r="I27" s="16" t="n">
        <v>8.5</v>
      </c>
      <c r="J27" s="17" t="n">
        <f aca="false">IF(AND(A27="",B27=""),"",IF(SUM(E27:H27)&gt;0,SUM(E27:H27),I27))</f>
        <v>8.5</v>
      </c>
      <c r="K27" s="17" t="n">
        <f aca="false">IF(J27="","",ROUND(IF(SUM(E27:H27)&gt;0,E27*(1+Config!$C$4)+F27*(1+Config!$C$5)+G27*(1+Config!$C$6)+H27*(1+Config!$C$7),I27*(1+Config!$C$8)),2))</f>
        <v>8.67</v>
      </c>
      <c r="L27" s="18"/>
      <c r="M27" s="19" t="n">
        <f aca="false">IF(J27="","",IF(L27="",Config!$C$3,L27))</f>
        <v>0.2</v>
      </c>
      <c r="N27" s="20" t="n">
        <f aca="false">IF(K27="","",ROUND(K27*(1+M27),2))</f>
        <v>10.4</v>
      </c>
      <c r="O27" s="21" t="s">
        <v>70</v>
      </c>
      <c r="P27" s="21"/>
      <c r="Q27" s="22" t="s">
        <v>71</v>
      </c>
      <c r="R27" s="22" t="s">
        <v>16</v>
      </c>
      <c r="S27" s="23" t="n">
        <f aca="false">IF(A27="","",COUNTIF(Registo!$B$2:$B$501,A27))</f>
        <v>0</v>
      </c>
      <c r="T27" s="17" t="str">
        <f aca="false">IF(OR(A27="",S27=0),"",LOOKUP(2,1/(Registo!$B$2:$B$501=A27),Registo!$E$2:$E$501))</f>
        <v/>
      </c>
      <c r="U27" s="24"/>
    </row>
    <row r="28" customFormat="false" ht="23.85" hidden="false" customHeight="false" outlineLevel="0" collapsed="false">
      <c r="A28" s="14" t="s">
        <v>113</v>
      </c>
      <c r="B28" s="15" t="s">
        <v>114</v>
      </c>
      <c r="C28" s="14" t="s">
        <v>68</v>
      </c>
      <c r="D28" s="14" t="s">
        <v>69</v>
      </c>
      <c r="E28" s="16"/>
      <c r="F28" s="16"/>
      <c r="G28" s="16"/>
      <c r="H28" s="16"/>
      <c r="I28" s="16" t="n">
        <v>10</v>
      </c>
      <c r="J28" s="17" t="n">
        <f aca="false">IF(AND(A28="",B28=""),"",IF(SUM(E28:H28)&gt;0,SUM(E28:H28),I28))</f>
        <v>10</v>
      </c>
      <c r="K28" s="17" t="n">
        <f aca="false">IF(J28="","",ROUND(IF(SUM(E28:H28)&gt;0,E28*(1+Config!$C$4)+F28*(1+Config!$C$5)+G28*(1+Config!$C$6)+H28*(1+Config!$C$7),I28*(1+Config!$C$8)),2))</f>
        <v>10.2</v>
      </c>
      <c r="L28" s="18"/>
      <c r="M28" s="19" t="n">
        <f aca="false">IF(J28="","",IF(L28="",Config!$C$3,L28))</f>
        <v>0.2</v>
      </c>
      <c r="N28" s="20" t="n">
        <f aca="false">IF(K28="","",ROUND(K28*(1+M28),2))</f>
        <v>12.24</v>
      </c>
      <c r="O28" s="21" t="s">
        <v>70</v>
      </c>
      <c r="P28" s="21"/>
      <c r="Q28" s="22" t="s">
        <v>71</v>
      </c>
      <c r="R28" s="22" t="s">
        <v>16</v>
      </c>
      <c r="S28" s="23" t="n">
        <f aca="false">IF(A28="","",COUNTIF(Registo!$B$2:$B$501,A28))</f>
        <v>0</v>
      </c>
      <c r="T28" s="17" t="str">
        <f aca="false">IF(OR(A28="",S28=0),"",LOOKUP(2,1/(Registo!$B$2:$B$501=A28),Registo!$E$2:$E$501))</f>
        <v/>
      </c>
      <c r="U28" s="24"/>
    </row>
    <row r="29" customFormat="false" ht="23.85" hidden="false" customHeight="false" outlineLevel="0" collapsed="false">
      <c r="A29" s="14" t="s">
        <v>115</v>
      </c>
      <c r="B29" s="15" t="s">
        <v>116</v>
      </c>
      <c r="C29" s="14" t="s">
        <v>68</v>
      </c>
      <c r="D29" s="14" t="s">
        <v>69</v>
      </c>
      <c r="E29" s="16"/>
      <c r="F29" s="16"/>
      <c r="G29" s="16"/>
      <c r="H29" s="16"/>
      <c r="I29" s="16" t="n">
        <v>35</v>
      </c>
      <c r="J29" s="17" t="n">
        <f aca="false">IF(AND(A29="",B29=""),"",IF(SUM(E29:H29)&gt;0,SUM(E29:H29),I29))</f>
        <v>35</v>
      </c>
      <c r="K29" s="17" t="n">
        <f aca="false">IF(J29="","",ROUND(IF(SUM(E29:H29)&gt;0,E29*(1+Config!$C$4)+F29*(1+Config!$C$5)+G29*(1+Config!$C$6)+H29*(1+Config!$C$7),I29*(1+Config!$C$8)),2))</f>
        <v>35.7</v>
      </c>
      <c r="L29" s="18"/>
      <c r="M29" s="19" t="n">
        <f aca="false">IF(J29="","",IF(L29="",Config!$C$3,L29))</f>
        <v>0.2</v>
      </c>
      <c r="N29" s="20" t="n">
        <f aca="false">IF(K29="","",ROUND(K29*(1+M29),2))</f>
        <v>42.84</v>
      </c>
      <c r="O29" s="21" t="s">
        <v>70</v>
      </c>
      <c r="P29" s="21"/>
      <c r="Q29" s="22" t="s">
        <v>71</v>
      </c>
      <c r="R29" s="22" t="s">
        <v>16</v>
      </c>
      <c r="S29" s="23" t="n">
        <f aca="false">IF(A29="","",COUNTIF(Registo!$B$2:$B$501,A29))</f>
        <v>0</v>
      </c>
      <c r="T29" s="17" t="str">
        <f aca="false">IF(OR(A29="",S29=0),"",LOOKUP(2,1/(Registo!$B$2:$B$501=A29),Registo!$E$2:$E$501))</f>
        <v/>
      </c>
      <c r="U29" s="24"/>
    </row>
    <row r="30" customFormat="false" ht="23.85" hidden="false" customHeight="false" outlineLevel="0" collapsed="false">
      <c r="A30" s="14" t="s">
        <v>117</v>
      </c>
      <c r="B30" s="15" t="s">
        <v>118</v>
      </c>
      <c r="C30" s="14" t="s">
        <v>68</v>
      </c>
      <c r="D30" s="14" t="s">
        <v>69</v>
      </c>
      <c r="E30" s="16"/>
      <c r="F30" s="16"/>
      <c r="G30" s="16"/>
      <c r="H30" s="16"/>
      <c r="I30" s="16" t="n">
        <v>28</v>
      </c>
      <c r="J30" s="17" t="n">
        <f aca="false">IF(AND(A30="",B30=""),"",IF(SUM(E30:H30)&gt;0,SUM(E30:H30),I30))</f>
        <v>28</v>
      </c>
      <c r="K30" s="17" t="n">
        <f aca="false">IF(J30="","",ROUND(IF(SUM(E30:H30)&gt;0,E30*(1+Config!$C$4)+F30*(1+Config!$C$5)+G30*(1+Config!$C$6)+H30*(1+Config!$C$7),I30*(1+Config!$C$8)),2))</f>
        <v>28.56</v>
      </c>
      <c r="L30" s="18"/>
      <c r="M30" s="19" t="n">
        <f aca="false">IF(J30="","",IF(L30="",Config!$C$3,L30))</f>
        <v>0.2</v>
      </c>
      <c r="N30" s="20" t="n">
        <f aca="false">IF(K30="","",ROUND(K30*(1+M30),2))</f>
        <v>34.27</v>
      </c>
      <c r="O30" s="21" t="s">
        <v>70</v>
      </c>
      <c r="P30" s="21"/>
      <c r="Q30" s="22" t="s">
        <v>71</v>
      </c>
      <c r="R30" s="22" t="s">
        <v>16</v>
      </c>
      <c r="S30" s="23" t="n">
        <f aca="false">IF(A30="","",COUNTIF(Registo!$B$2:$B$501,A30))</f>
        <v>0</v>
      </c>
      <c r="T30" s="17" t="str">
        <f aca="false">IF(OR(A30="",S30=0),"",LOOKUP(2,1/(Registo!$B$2:$B$501=A30),Registo!$E$2:$E$501))</f>
        <v/>
      </c>
      <c r="U30" s="24"/>
    </row>
    <row r="31" customFormat="false" ht="23.85" hidden="false" customHeight="false" outlineLevel="0" collapsed="false">
      <c r="A31" s="14" t="s">
        <v>119</v>
      </c>
      <c r="B31" s="15" t="s">
        <v>120</v>
      </c>
      <c r="C31" s="14" t="s">
        <v>68</v>
      </c>
      <c r="D31" s="14" t="s">
        <v>121</v>
      </c>
      <c r="E31" s="16"/>
      <c r="F31" s="16"/>
      <c r="G31" s="16"/>
      <c r="H31" s="16"/>
      <c r="I31" s="16" t="n">
        <v>320</v>
      </c>
      <c r="J31" s="17" t="n">
        <f aca="false">IF(AND(A31="",B31=""),"",IF(SUM(E31:H31)&gt;0,SUM(E31:H31),I31))</f>
        <v>320</v>
      </c>
      <c r="K31" s="17" t="n">
        <f aca="false">IF(J31="","",ROUND(IF(SUM(E31:H31)&gt;0,E31*(1+Config!$C$4)+F31*(1+Config!$C$5)+G31*(1+Config!$C$6)+H31*(1+Config!$C$7),I31*(1+Config!$C$8)),2))</f>
        <v>326.4</v>
      </c>
      <c r="L31" s="18"/>
      <c r="M31" s="19" t="n">
        <f aca="false">IF(J31="","",IF(L31="",Config!$C$3,L31))</f>
        <v>0.2</v>
      </c>
      <c r="N31" s="20" t="n">
        <f aca="false">IF(K31="","",ROUND(K31*(1+M31),2))</f>
        <v>391.68</v>
      </c>
      <c r="O31" s="21" t="s">
        <v>70</v>
      </c>
      <c r="P31" s="21"/>
      <c r="Q31" s="22" t="s">
        <v>71</v>
      </c>
      <c r="R31" s="22" t="s">
        <v>16</v>
      </c>
      <c r="S31" s="23" t="n">
        <f aca="false">IF(A31="","",COUNTIF(Registo!$B$2:$B$501,A31))</f>
        <v>0</v>
      </c>
      <c r="T31" s="17" t="str">
        <f aca="false">IF(OR(A31="",S31=0),"",LOOKUP(2,1/(Registo!$B$2:$B$501=A31),Registo!$E$2:$E$501))</f>
        <v/>
      </c>
      <c r="U31" s="24"/>
    </row>
    <row r="32" customFormat="false" ht="23.85" hidden="false" customHeight="false" outlineLevel="0" collapsed="false">
      <c r="A32" s="14" t="s">
        <v>122</v>
      </c>
      <c r="B32" s="15" t="s">
        <v>123</v>
      </c>
      <c r="C32" s="14" t="s">
        <v>68</v>
      </c>
      <c r="D32" s="14" t="s">
        <v>121</v>
      </c>
      <c r="E32" s="16"/>
      <c r="F32" s="16"/>
      <c r="G32" s="16"/>
      <c r="H32" s="16"/>
      <c r="I32" s="16" t="n">
        <v>950</v>
      </c>
      <c r="J32" s="17" t="n">
        <f aca="false">IF(AND(A32="",B32=""),"",IF(SUM(E32:H32)&gt;0,SUM(E32:H32),I32))</f>
        <v>950</v>
      </c>
      <c r="K32" s="17" t="n">
        <f aca="false">IF(J32="","",ROUND(IF(SUM(E32:H32)&gt;0,E32*(1+Config!$C$4)+F32*(1+Config!$C$5)+G32*(1+Config!$C$6)+H32*(1+Config!$C$7),I32*(1+Config!$C$8)),2))</f>
        <v>969</v>
      </c>
      <c r="L32" s="18"/>
      <c r="M32" s="19" t="n">
        <f aca="false">IF(J32="","",IF(L32="",Config!$C$3,L32))</f>
        <v>0.2</v>
      </c>
      <c r="N32" s="20" t="n">
        <f aca="false">IF(K32="","",ROUND(K32*(1+M32),2))</f>
        <v>1162.8</v>
      </c>
      <c r="O32" s="21" t="s">
        <v>70</v>
      </c>
      <c r="P32" s="21"/>
      <c r="Q32" s="22" t="s">
        <v>71</v>
      </c>
      <c r="R32" s="22" t="s">
        <v>16</v>
      </c>
      <c r="S32" s="23" t="n">
        <f aca="false">IF(A32="","",COUNTIF(Registo!$B$2:$B$501,A32))</f>
        <v>0</v>
      </c>
      <c r="T32" s="17" t="str">
        <f aca="false">IF(OR(A32="",S32=0),"",LOOKUP(2,1/(Registo!$B$2:$B$501=A32),Registo!$E$2:$E$501))</f>
        <v/>
      </c>
      <c r="U32" s="24"/>
    </row>
    <row r="33" customFormat="false" ht="23.85" hidden="false" customHeight="false" outlineLevel="0" collapsed="false">
      <c r="A33" s="14" t="s">
        <v>124</v>
      </c>
      <c r="B33" s="15" t="s">
        <v>125</v>
      </c>
      <c r="C33" s="14" t="s">
        <v>68</v>
      </c>
      <c r="D33" s="14" t="s">
        <v>121</v>
      </c>
      <c r="E33" s="16"/>
      <c r="F33" s="16"/>
      <c r="G33" s="16"/>
      <c r="H33" s="16"/>
      <c r="I33" s="16" t="n">
        <v>480</v>
      </c>
      <c r="J33" s="17" t="n">
        <f aca="false">IF(AND(A33="",B33=""),"",IF(SUM(E33:H33)&gt;0,SUM(E33:H33),I33))</f>
        <v>480</v>
      </c>
      <c r="K33" s="17" t="n">
        <f aca="false">IF(J33="","",ROUND(IF(SUM(E33:H33)&gt;0,E33*(1+Config!$C$4)+F33*(1+Config!$C$5)+G33*(1+Config!$C$6)+H33*(1+Config!$C$7),I33*(1+Config!$C$8)),2))</f>
        <v>489.6</v>
      </c>
      <c r="L33" s="18"/>
      <c r="M33" s="19" t="n">
        <f aca="false">IF(J33="","",IF(L33="",Config!$C$3,L33))</f>
        <v>0.2</v>
      </c>
      <c r="N33" s="20" t="n">
        <f aca="false">IF(K33="","",ROUND(K33*(1+M33),2))</f>
        <v>587.52</v>
      </c>
      <c r="O33" s="21" t="s">
        <v>70</v>
      </c>
      <c r="P33" s="21"/>
      <c r="Q33" s="22" t="s">
        <v>71</v>
      </c>
      <c r="R33" s="22" t="s">
        <v>16</v>
      </c>
      <c r="S33" s="23" t="n">
        <f aca="false">IF(A33="","",COUNTIF(Registo!$B$2:$B$501,A33))</f>
        <v>0</v>
      </c>
      <c r="T33" s="17" t="str">
        <f aca="false">IF(OR(A33="",S33=0),"",LOOKUP(2,1/(Registo!$B$2:$B$501=A33),Registo!$E$2:$E$501))</f>
        <v/>
      </c>
      <c r="U33" s="24"/>
    </row>
    <row r="34" customFormat="false" ht="23.85" hidden="false" customHeight="false" outlineLevel="0" collapsed="false">
      <c r="A34" s="14" t="s">
        <v>126</v>
      </c>
      <c r="B34" s="15" t="s">
        <v>127</v>
      </c>
      <c r="C34" s="14" t="s">
        <v>68</v>
      </c>
      <c r="D34" s="14" t="s">
        <v>121</v>
      </c>
      <c r="E34" s="16"/>
      <c r="F34" s="16"/>
      <c r="G34" s="16"/>
      <c r="H34" s="16"/>
      <c r="I34" s="16" t="n">
        <v>620</v>
      </c>
      <c r="J34" s="17" t="n">
        <f aca="false">IF(AND(A34="",B34=""),"",IF(SUM(E34:H34)&gt;0,SUM(E34:H34),I34))</f>
        <v>620</v>
      </c>
      <c r="K34" s="17" t="n">
        <f aca="false">IF(J34="","",ROUND(IF(SUM(E34:H34)&gt;0,E34*(1+Config!$C$4)+F34*(1+Config!$C$5)+G34*(1+Config!$C$6)+H34*(1+Config!$C$7),I34*(1+Config!$C$8)),2))</f>
        <v>632.4</v>
      </c>
      <c r="L34" s="18"/>
      <c r="M34" s="19" t="n">
        <f aca="false">IF(J34="","",IF(L34="",Config!$C$3,L34))</f>
        <v>0.2</v>
      </c>
      <c r="N34" s="20" t="n">
        <f aca="false">IF(K34="","",ROUND(K34*(1+M34),2))</f>
        <v>758.88</v>
      </c>
      <c r="O34" s="21" t="s">
        <v>70</v>
      </c>
      <c r="P34" s="21"/>
      <c r="Q34" s="22" t="s">
        <v>71</v>
      </c>
      <c r="R34" s="22" t="s">
        <v>16</v>
      </c>
      <c r="S34" s="23" t="n">
        <f aca="false">IF(A34="","",COUNTIF(Registo!$B$2:$B$501,A34))</f>
        <v>0</v>
      </c>
      <c r="T34" s="17" t="str">
        <f aca="false">IF(OR(A34="",S34=0),"",LOOKUP(2,1/(Registo!$B$2:$B$501=A34),Registo!$E$2:$E$501))</f>
        <v/>
      </c>
      <c r="U34" s="24"/>
    </row>
    <row r="35" customFormat="false" ht="23.85" hidden="false" customHeight="false" outlineLevel="0" collapsed="false">
      <c r="A35" s="14" t="s">
        <v>128</v>
      </c>
      <c r="B35" s="15" t="s">
        <v>129</v>
      </c>
      <c r="C35" s="14" t="s">
        <v>68</v>
      </c>
      <c r="D35" s="14" t="s">
        <v>121</v>
      </c>
      <c r="E35" s="16"/>
      <c r="F35" s="16"/>
      <c r="G35" s="16"/>
      <c r="H35" s="16"/>
      <c r="I35" s="16" t="n">
        <v>380</v>
      </c>
      <c r="J35" s="17" t="n">
        <f aca="false">IF(AND(A35="",B35=""),"",IF(SUM(E35:H35)&gt;0,SUM(E35:H35),I35))</f>
        <v>380</v>
      </c>
      <c r="K35" s="17" t="n">
        <f aca="false">IF(J35="","",ROUND(IF(SUM(E35:H35)&gt;0,E35*(1+Config!$C$4)+F35*(1+Config!$C$5)+G35*(1+Config!$C$6)+H35*(1+Config!$C$7),I35*(1+Config!$C$8)),2))</f>
        <v>387.6</v>
      </c>
      <c r="L35" s="18"/>
      <c r="M35" s="19" t="n">
        <f aca="false">IF(J35="","",IF(L35="",Config!$C$3,L35))</f>
        <v>0.2</v>
      </c>
      <c r="N35" s="20" t="n">
        <f aca="false">IF(K35="","",ROUND(K35*(1+M35),2))</f>
        <v>465.12</v>
      </c>
      <c r="O35" s="21" t="s">
        <v>70</v>
      </c>
      <c r="P35" s="21"/>
      <c r="Q35" s="22" t="s">
        <v>71</v>
      </c>
      <c r="R35" s="22" t="s">
        <v>16</v>
      </c>
      <c r="S35" s="23" t="n">
        <f aca="false">IF(A35="","",COUNTIF(Registo!$B$2:$B$501,A35))</f>
        <v>0</v>
      </c>
      <c r="T35" s="17" t="str">
        <f aca="false">IF(OR(A35="",S35=0),"",LOOKUP(2,1/(Registo!$B$2:$B$501=A35),Registo!$E$2:$E$501))</f>
        <v/>
      </c>
      <c r="U35" s="24"/>
    </row>
    <row r="36" customFormat="false" ht="23.85" hidden="false" customHeight="false" outlineLevel="0" collapsed="false">
      <c r="A36" s="14" t="s">
        <v>130</v>
      </c>
      <c r="B36" s="15" t="s">
        <v>131</v>
      </c>
      <c r="C36" s="14" t="s">
        <v>68</v>
      </c>
      <c r="D36" s="14" t="s">
        <v>104</v>
      </c>
      <c r="E36" s="16"/>
      <c r="F36" s="16"/>
      <c r="G36" s="16"/>
      <c r="H36" s="16"/>
      <c r="I36" s="16" t="n">
        <v>320</v>
      </c>
      <c r="J36" s="17" t="n">
        <f aca="false">IF(AND(A36="",B36=""),"",IF(SUM(E36:H36)&gt;0,SUM(E36:H36),I36))</f>
        <v>320</v>
      </c>
      <c r="K36" s="17" t="n">
        <f aca="false">IF(J36="","",ROUND(IF(SUM(E36:H36)&gt;0,E36*(1+Config!$C$4)+F36*(1+Config!$C$5)+G36*(1+Config!$C$6)+H36*(1+Config!$C$7),I36*(1+Config!$C$8)),2))</f>
        <v>326.4</v>
      </c>
      <c r="L36" s="18"/>
      <c r="M36" s="19" t="n">
        <f aca="false">IF(J36="","",IF(L36="",Config!$C$3,L36))</f>
        <v>0.2</v>
      </c>
      <c r="N36" s="20" t="n">
        <f aca="false">IF(K36="","",ROUND(K36*(1+M36),2))</f>
        <v>391.68</v>
      </c>
      <c r="O36" s="21" t="s">
        <v>70</v>
      </c>
      <c r="P36" s="21"/>
      <c r="Q36" s="22" t="s">
        <v>71</v>
      </c>
      <c r="R36" s="22" t="s">
        <v>16</v>
      </c>
      <c r="S36" s="23" t="n">
        <f aca="false">IF(A36="","",COUNTIF(Registo!$B$2:$B$501,A36))</f>
        <v>0</v>
      </c>
      <c r="T36" s="17" t="str">
        <f aca="false">IF(OR(A36="",S36=0),"",LOOKUP(2,1/(Registo!$B$2:$B$501=A36),Registo!$E$2:$E$501))</f>
        <v/>
      </c>
      <c r="U36" s="24"/>
    </row>
    <row r="37" customFormat="false" ht="23.85" hidden="false" customHeight="false" outlineLevel="0" collapsed="false">
      <c r="A37" s="14" t="s">
        <v>132</v>
      </c>
      <c r="B37" s="15" t="s">
        <v>133</v>
      </c>
      <c r="C37" s="14" t="s">
        <v>68</v>
      </c>
      <c r="D37" s="14" t="s">
        <v>69</v>
      </c>
      <c r="E37" s="16"/>
      <c r="F37" s="16"/>
      <c r="G37" s="16"/>
      <c r="H37" s="16"/>
      <c r="I37" s="16" t="n">
        <v>55</v>
      </c>
      <c r="J37" s="17" t="n">
        <f aca="false">IF(AND(A37="",B37=""),"",IF(SUM(E37:H37)&gt;0,SUM(E37:H37),I37))</f>
        <v>55</v>
      </c>
      <c r="K37" s="17" t="n">
        <f aca="false">IF(J37="","",ROUND(IF(SUM(E37:H37)&gt;0,E37*(1+Config!$C$4)+F37*(1+Config!$C$5)+G37*(1+Config!$C$6)+H37*(1+Config!$C$7),I37*(1+Config!$C$8)),2))</f>
        <v>56.1</v>
      </c>
      <c r="L37" s="18"/>
      <c r="M37" s="19" t="n">
        <f aca="false">IF(J37="","",IF(L37="",Config!$C$3,L37))</f>
        <v>0.2</v>
      </c>
      <c r="N37" s="20" t="n">
        <f aca="false">IF(K37="","",ROUND(K37*(1+M37),2))</f>
        <v>67.32</v>
      </c>
      <c r="O37" s="21" t="s">
        <v>60</v>
      </c>
      <c r="P37" s="21" t="s">
        <v>61</v>
      </c>
      <c r="Q37" s="22" t="s">
        <v>62</v>
      </c>
      <c r="R37" s="22" t="s">
        <v>14</v>
      </c>
      <c r="S37" s="23" t="n">
        <f aca="false">IF(A37="","",COUNTIF(Registo!$B$2:$B$501,A37))</f>
        <v>0</v>
      </c>
      <c r="T37" s="17" t="str">
        <f aca="false">IF(OR(A37="",S37=0),"",LOOKUP(2,1/(Registo!$B$2:$B$501=A37),Registo!$E$2:$E$501))</f>
        <v/>
      </c>
      <c r="U37" s="24" t="s">
        <v>63</v>
      </c>
    </row>
    <row r="38" customFormat="false" ht="23.85" hidden="false" customHeight="false" outlineLevel="0" collapsed="false">
      <c r="A38" s="14" t="s">
        <v>134</v>
      </c>
      <c r="B38" s="15" t="s">
        <v>135</v>
      </c>
      <c r="C38" s="14" t="s">
        <v>68</v>
      </c>
      <c r="D38" s="14" t="s">
        <v>121</v>
      </c>
      <c r="E38" s="16"/>
      <c r="F38" s="16"/>
      <c r="G38" s="16"/>
      <c r="H38" s="16"/>
      <c r="I38" s="16" t="n">
        <v>480</v>
      </c>
      <c r="J38" s="17" t="n">
        <f aca="false">IF(AND(A38="",B38=""),"",IF(SUM(E38:H38)&gt;0,SUM(E38:H38),I38))</f>
        <v>480</v>
      </c>
      <c r="K38" s="17" t="n">
        <f aca="false">IF(J38="","",ROUND(IF(SUM(E38:H38)&gt;0,E38*(1+Config!$C$4)+F38*(1+Config!$C$5)+G38*(1+Config!$C$6)+H38*(1+Config!$C$7),I38*(1+Config!$C$8)),2))</f>
        <v>489.6</v>
      </c>
      <c r="L38" s="18"/>
      <c r="M38" s="19" t="n">
        <f aca="false">IF(J38="","",IF(L38="",Config!$C$3,L38))</f>
        <v>0.2</v>
      </c>
      <c r="N38" s="20" t="n">
        <f aca="false">IF(K38="","",ROUND(K38*(1+M38),2))</f>
        <v>587.52</v>
      </c>
      <c r="O38" s="21" t="s">
        <v>60</v>
      </c>
      <c r="P38" s="21" t="s">
        <v>61</v>
      </c>
      <c r="Q38" s="22" t="s">
        <v>62</v>
      </c>
      <c r="R38" s="22" t="s">
        <v>14</v>
      </c>
      <c r="S38" s="23" t="n">
        <f aca="false">IF(A38="","",COUNTIF(Registo!$B$2:$B$501,A38))</f>
        <v>0</v>
      </c>
      <c r="T38" s="17" t="str">
        <f aca="false">IF(OR(A38="",S38=0),"",LOOKUP(2,1/(Registo!$B$2:$B$501=A38),Registo!$E$2:$E$501))</f>
        <v/>
      </c>
      <c r="U38" s="24" t="s">
        <v>63</v>
      </c>
    </row>
    <row r="39" customFormat="false" ht="23.85" hidden="false" customHeight="false" outlineLevel="0" collapsed="false">
      <c r="A39" s="14" t="s">
        <v>136</v>
      </c>
      <c r="B39" s="15" t="s">
        <v>137</v>
      </c>
      <c r="C39" s="14" t="s">
        <v>68</v>
      </c>
      <c r="D39" s="14" t="s">
        <v>69</v>
      </c>
      <c r="E39" s="16"/>
      <c r="F39" s="16"/>
      <c r="G39" s="16"/>
      <c r="H39" s="16"/>
      <c r="I39" s="16" t="n">
        <v>58</v>
      </c>
      <c r="J39" s="17" t="n">
        <f aca="false">IF(AND(A39="",B39=""),"",IF(SUM(E39:H39)&gt;0,SUM(E39:H39),I39))</f>
        <v>58</v>
      </c>
      <c r="K39" s="17" t="n">
        <f aca="false">IF(J39="","",ROUND(IF(SUM(E39:H39)&gt;0,E39*(1+Config!$C$4)+F39*(1+Config!$C$5)+G39*(1+Config!$C$6)+H39*(1+Config!$C$7),I39*(1+Config!$C$8)),2))</f>
        <v>59.16</v>
      </c>
      <c r="L39" s="18"/>
      <c r="M39" s="19" t="n">
        <f aca="false">IF(J39="","",IF(L39="",Config!$C$3,L39))</f>
        <v>0.2</v>
      </c>
      <c r="N39" s="20" t="n">
        <f aca="false">IF(K39="","",ROUND(K39*(1+M39),2))</f>
        <v>70.99</v>
      </c>
      <c r="O39" s="21" t="s">
        <v>60</v>
      </c>
      <c r="P39" s="21" t="s">
        <v>61</v>
      </c>
      <c r="Q39" s="22" t="s">
        <v>62</v>
      </c>
      <c r="R39" s="22" t="s">
        <v>14</v>
      </c>
      <c r="S39" s="23" t="n">
        <f aca="false">IF(A39="","",COUNTIF(Registo!$B$2:$B$501,A39))</f>
        <v>0</v>
      </c>
      <c r="T39" s="17" t="str">
        <f aca="false">IF(OR(A39="",S39=0),"",LOOKUP(2,1/(Registo!$B$2:$B$501=A39),Registo!$E$2:$E$501))</f>
        <v/>
      </c>
      <c r="U39" s="24" t="s">
        <v>63</v>
      </c>
    </row>
    <row r="40" customFormat="false" ht="23.85" hidden="false" customHeight="false" outlineLevel="0" collapsed="false">
      <c r="A40" s="14" t="s">
        <v>138</v>
      </c>
      <c r="B40" s="15" t="s">
        <v>139</v>
      </c>
      <c r="C40" s="14" t="s">
        <v>68</v>
      </c>
      <c r="D40" s="14" t="s">
        <v>69</v>
      </c>
      <c r="E40" s="16"/>
      <c r="F40" s="16"/>
      <c r="G40" s="16"/>
      <c r="H40" s="16"/>
      <c r="I40" s="16" t="n">
        <v>52</v>
      </c>
      <c r="J40" s="17" t="n">
        <f aca="false">IF(AND(A40="",B40=""),"",IF(SUM(E40:H40)&gt;0,SUM(E40:H40),I40))</f>
        <v>52</v>
      </c>
      <c r="K40" s="17" t="n">
        <f aca="false">IF(J40="","",ROUND(IF(SUM(E40:H40)&gt;0,E40*(1+Config!$C$4)+F40*(1+Config!$C$5)+G40*(1+Config!$C$6)+H40*(1+Config!$C$7),I40*(1+Config!$C$8)),2))</f>
        <v>53.04</v>
      </c>
      <c r="L40" s="18"/>
      <c r="M40" s="19" t="n">
        <f aca="false">IF(J40="","",IF(L40="",Config!$C$3,L40))</f>
        <v>0.2</v>
      </c>
      <c r="N40" s="20" t="n">
        <f aca="false">IF(K40="","",ROUND(K40*(1+M40),2))</f>
        <v>63.65</v>
      </c>
      <c r="O40" s="21" t="s">
        <v>60</v>
      </c>
      <c r="P40" s="21" t="s">
        <v>61</v>
      </c>
      <c r="Q40" s="22" t="s">
        <v>62</v>
      </c>
      <c r="R40" s="22" t="s">
        <v>14</v>
      </c>
      <c r="S40" s="23" t="n">
        <f aca="false">IF(A40="","",COUNTIF(Registo!$B$2:$B$501,A40))</f>
        <v>0</v>
      </c>
      <c r="T40" s="17" t="str">
        <f aca="false">IF(OR(A40="",S40=0),"",LOOKUP(2,1/(Registo!$B$2:$B$501=A40),Registo!$E$2:$E$501))</f>
        <v/>
      </c>
      <c r="U40" s="24" t="s">
        <v>63</v>
      </c>
    </row>
    <row r="41" customFormat="false" ht="23.85" hidden="false" customHeight="false" outlineLevel="0" collapsed="false">
      <c r="A41" s="14" t="s">
        <v>140</v>
      </c>
      <c r="B41" s="15" t="s">
        <v>141</v>
      </c>
      <c r="C41" s="14" t="s">
        <v>68</v>
      </c>
      <c r="D41" s="14" t="s">
        <v>69</v>
      </c>
      <c r="E41" s="16"/>
      <c r="F41" s="16"/>
      <c r="G41" s="16"/>
      <c r="H41" s="16"/>
      <c r="I41" s="16" t="n">
        <v>50</v>
      </c>
      <c r="J41" s="17" t="n">
        <f aca="false">IF(AND(A41="",B41=""),"",IF(SUM(E41:H41)&gt;0,SUM(E41:H41),I41))</f>
        <v>50</v>
      </c>
      <c r="K41" s="17" t="n">
        <f aca="false">IF(J41="","",ROUND(IF(SUM(E41:H41)&gt;0,E41*(1+Config!$C$4)+F41*(1+Config!$C$5)+G41*(1+Config!$C$6)+H41*(1+Config!$C$7),I41*(1+Config!$C$8)),2))</f>
        <v>51</v>
      </c>
      <c r="L41" s="18"/>
      <c r="M41" s="19" t="n">
        <f aca="false">IF(J41="","",IF(L41="",Config!$C$3,L41))</f>
        <v>0.2</v>
      </c>
      <c r="N41" s="20" t="n">
        <f aca="false">IF(K41="","",ROUND(K41*(1+M41),2))</f>
        <v>61.2</v>
      </c>
      <c r="O41" s="21" t="s">
        <v>60</v>
      </c>
      <c r="P41" s="21" t="s">
        <v>61</v>
      </c>
      <c r="Q41" s="22" t="s">
        <v>62</v>
      </c>
      <c r="R41" s="22" t="s">
        <v>14</v>
      </c>
      <c r="S41" s="23" t="n">
        <f aca="false">IF(A41="","",COUNTIF(Registo!$B$2:$B$501,A41))</f>
        <v>0</v>
      </c>
      <c r="T41" s="17" t="str">
        <f aca="false">IF(OR(A41="",S41=0),"",LOOKUP(2,1/(Registo!$B$2:$B$501=A41),Registo!$E$2:$E$501))</f>
        <v/>
      </c>
      <c r="U41" s="24" t="s">
        <v>63</v>
      </c>
    </row>
    <row r="42" customFormat="false" ht="23.85" hidden="false" customHeight="false" outlineLevel="0" collapsed="false">
      <c r="A42" s="14" t="s">
        <v>142</v>
      </c>
      <c r="B42" s="15" t="s">
        <v>143</v>
      </c>
      <c r="C42" s="14" t="s">
        <v>68</v>
      </c>
      <c r="D42" s="14" t="s">
        <v>69</v>
      </c>
      <c r="E42" s="16"/>
      <c r="F42" s="16"/>
      <c r="G42" s="16"/>
      <c r="H42" s="16"/>
      <c r="I42" s="16" t="n">
        <v>28</v>
      </c>
      <c r="J42" s="17" t="n">
        <f aca="false">IF(AND(A42="",B42=""),"",IF(SUM(E42:H42)&gt;0,SUM(E42:H42),I42))</f>
        <v>28</v>
      </c>
      <c r="K42" s="17" t="n">
        <f aca="false">IF(J42="","",ROUND(IF(SUM(E42:H42)&gt;0,E42*(1+Config!$C$4)+F42*(1+Config!$C$5)+G42*(1+Config!$C$6)+H42*(1+Config!$C$7),I42*(1+Config!$C$8)),2))</f>
        <v>28.56</v>
      </c>
      <c r="L42" s="18"/>
      <c r="M42" s="19" t="n">
        <f aca="false">IF(J42="","",IF(L42="",Config!$C$3,L42))</f>
        <v>0.2</v>
      </c>
      <c r="N42" s="20" t="n">
        <f aca="false">IF(K42="","",ROUND(K42*(1+M42),2))</f>
        <v>34.27</v>
      </c>
      <c r="O42" s="21" t="s">
        <v>60</v>
      </c>
      <c r="P42" s="21" t="s">
        <v>61</v>
      </c>
      <c r="Q42" s="22" t="s">
        <v>62</v>
      </c>
      <c r="R42" s="22" t="s">
        <v>14</v>
      </c>
      <c r="S42" s="23" t="n">
        <f aca="false">IF(A42="","",COUNTIF(Registo!$B$2:$B$501,A42))</f>
        <v>0</v>
      </c>
      <c r="T42" s="17" t="str">
        <f aca="false">IF(OR(A42="",S42=0),"",LOOKUP(2,1/(Registo!$B$2:$B$501=A42),Registo!$E$2:$E$501))</f>
        <v/>
      </c>
      <c r="U42" s="24" t="s">
        <v>63</v>
      </c>
    </row>
    <row r="43" customFormat="false" ht="23.85" hidden="false" customHeight="false" outlineLevel="0" collapsed="false">
      <c r="A43" s="14" t="s">
        <v>144</v>
      </c>
      <c r="B43" s="15" t="s">
        <v>145</v>
      </c>
      <c r="C43" s="14" t="s">
        <v>68</v>
      </c>
      <c r="D43" s="14" t="s">
        <v>69</v>
      </c>
      <c r="E43" s="16"/>
      <c r="F43" s="16"/>
      <c r="G43" s="16"/>
      <c r="H43" s="16"/>
      <c r="I43" s="16" t="n">
        <v>52</v>
      </c>
      <c r="J43" s="17" t="n">
        <f aca="false">IF(AND(A43="",B43=""),"",IF(SUM(E43:H43)&gt;0,SUM(E43:H43),I43))</f>
        <v>52</v>
      </c>
      <c r="K43" s="17" t="n">
        <f aca="false">IF(J43="","",ROUND(IF(SUM(E43:H43)&gt;0,E43*(1+Config!$C$4)+F43*(1+Config!$C$5)+G43*(1+Config!$C$6)+H43*(1+Config!$C$7),I43*(1+Config!$C$8)),2))</f>
        <v>53.04</v>
      </c>
      <c r="L43" s="18"/>
      <c r="M43" s="19" t="n">
        <f aca="false">IF(J43="","",IF(L43="",Config!$C$3,L43))</f>
        <v>0.2</v>
      </c>
      <c r="N43" s="20" t="n">
        <f aca="false">IF(K43="","",ROUND(K43*(1+M43),2))</f>
        <v>63.65</v>
      </c>
      <c r="O43" s="21" t="s">
        <v>60</v>
      </c>
      <c r="P43" s="21" t="s">
        <v>61</v>
      </c>
      <c r="Q43" s="22" t="s">
        <v>62</v>
      </c>
      <c r="R43" s="22" t="s">
        <v>14</v>
      </c>
      <c r="S43" s="23" t="n">
        <f aca="false">IF(A43="","",COUNTIF(Registo!$B$2:$B$501,A43))</f>
        <v>0</v>
      </c>
      <c r="T43" s="17" t="str">
        <f aca="false">IF(OR(A43="",S43=0),"",LOOKUP(2,1/(Registo!$B$2:$B$501=A43),Registo!$E$2:$E$501))</f>
        <v/>
      </c>
      <c r="U43" s="24" t="s">
        <v>63</v>
      </c>
    </row>
    <row r="44" customFormat="false" ht="23.85" hidden="false" customHeight="false" outlineLevel="0" collapsed="false">
      <c r="A44" s="14" t="s">
        <v>146</v>
      </c>
      <c r="B44" s="15" t="s">
        <v>147</v>
      </c>
      <c r="C44" s="14" t="s">
        <v>68</v>
      </c>
      <c r="D44" s="14" t="s">
        <v>69</v>
      </c>
      <c r="E44" s="16"/>
      <c r="F44" s="16"/>
      <c r="G44" s="16"/>
      <c r="H44" s="16"/>
      <c r="I44" s="16" t="n">
        <v>62</v>
      </c>
      <c r="J44" s="17" t="n">
        <f aca="false">IF(AND(A44="",B44=""),"",IF(SUM(E44:H44)&gt;0,SUM(E44:H44),I44))</f>
        <v>62</v>
      </c>
      <c r="K44" s="17" t="n">
        <f aca="false">IF(J44="","",ROUND(IF(SUM(E44:H44)&gt;0,E44*(1+Config!$C$4)+F44*(1+Config!$C$5)+G44*(1+Config!$C$6)+H44*(1+Config!$C$7),I44*(1+Config!$C$8)),2))</f>
        <v>63.24</v>
      </c>
      <c r="L44" s="18"/>
      <c r="M44" s="19" t="n">
        <f aca="false">IF(J44="","",IF(L44="",Config!$C$3,L44))</f>
        <v>0.2</v>
      </c>
      <c r="N44" s="20" t="n">
        <f aca="false">IF(K44="","",ROUND(K44*(1+M44),2))</f>
        <v>75.89</v>
      </c>
      <c r="O44" s="21" t="s">
        <v>60</v>
      </c>
      <c r="P44" s="21" t="s">
        <v>61</v>
      </c>
      <c r="Q44" s="22" t="s">
        <v>62</v>
      </c>
      <c r="R44" s="22" t="s">
        <v>14</v>
      </c>
      <c r="S44" s="23" t="n">
        <f aca="false">IF(A44="","",COUNTIF(Registo!$B$2:$B$501,A44))</f>
        <v>0</v>
      </c>
      <c r="T44" s="17" t="str">
        <f aca="false">IF(OR(A44="",S44=0),"",LOOKUP(2,1/(Registo!$B$2:$B$501=A44),Registo!$E$2:$E$501))</f>
        <v/>
      </c>
      <c r="U44" s="24" t="s">
        <v>63</v>
      </c>
    </row>
    <row r="45" customFormat="false" ht="23.85" hidden="false" customHeight="false" outlineLevel="0" collapsed="false">
      <c r="A45" s="14" t="s">
        <v>148</v>
      </c>
      <c r="B45" s="15" t="s">
        <v>149</v>
      </c>
      <c r="C45" s="14" t="s">
        <v>68</v>
      </c>
      <c r="D45" s="14" t="s">
        <v>69</v>
      </c>
      <c r="E45" s="16"/>
      <c r="F45" s="16"/>
      <c r="G45" s="16"/>
      <c r="H45" s="16"/>
      <c r="I45" s="16" t="n">
        <v>55</v>
      </c>
      <c r="J45" s="17" t="n">
        <f aca="false">IF(AND(A45="",B45=""),"",IF(SUM(E45:H45)&gt;0,SUM(E45:H45),I45))</f>
        <v>55</v>
      </c>
      <c r="K45" s="17" t="n">
        <f aca="false">IF(J45="","",ROUND(IF(SUM(E45:H45)&gt;0,E45*(1+Config!$C$4)+F45*(1+Config!$C$5)+G45*(1+Config!$C$6)+H45*(1+Config!$C$7),I45*(1+Config!$C$8)),2))</f>
        <v>56.1</v>
      </c>
      <c r="L45" s="18"/>
      <c r="M45" s="19" t="n">
        <f aca="false">IF(J45="","",IF(L45="",Config!$C$3,L45))</f>
        <v>0.2</v>
      </c>
      <c r="N45" s="20" t="n">
        <f aca="false">IF(K45="","",ROUND(K45*(1+M45),2))</f>
        <v>67.32</v>
      </c>
      <c r="O45" s="21" t="s">
        <v>60</v>
      </c>
      <c r="P45" s="21" t="s">
        <v>61</v>
      </c>
      <c r="Q45" s="22" t="s">
        <v>62</v>
      </c>
      <c r="R45" s="22" t="s">
        <v>14</v>
      </c>
      <c r="S45" s="23" t="n">
        <f aca="false">IF(A45="","",COUNTIF(Registo!$B$2:$B$501,A45))</f>
        <v>0</v>
      </c>
      <c r="T45" s="17" t="str">
        <f aca="false">IF(OR(A45="",S45=0),"",LOOKUP(2,1/(Registo!$B$2:$B$501=A45),Registo!$E$2:$E$501))</f>
        <v/>
      </c>
      <c r="U45" s="24" t="s">
        <v>63</v>
      </c>
    </row>
    <row r="46" customFormat="false" ht="23.85" hidden="false" customHeight="false" outlineLevel="0" collapsed="false">
      <c r="A46" s="14" t="s">
        <v>150</v>
      </c>
      <c r="B46" s="15" t="s">
        <v>151</v>
      </c>
      <c r="C46" s="14" t="s">
        <v>68</v>
      </c>
      <c r="D46" s="14" t="s">
        <v>69</v>
      </c>
      <c r="E46" s="16"/>
      <c r="F46" s="16"/>
      <c r="G46" s="16"/>
      <c r="H46" s="16"/>
      <c r="I46" s="16" t="n">
        <v>20</v>
      </c>
      <c r="J46" s="17" t="n">
        <f aca="false">IF(AND(A46="",B46=""),"",IF(SUM(E46:H46)&gt;0,SUM(E46:H46),I46))</f>
        <v>20</v>
      </c>
      <c r="K46" s="17" t="n">
        <f aca="false">IF(J46="","",ROUND(IF(SUM(E46:H46)&gt;0,E46*(1+Config!$C$4)+F46*(1+Config!$C$5)+G46*(1+Config!$C$6)+H46*(1+Config!$C$7),I46*(1+Config!$C$8)),2))</f>
        <v>20.4</v>
      </c>
      <c r="L46" s="18"/>
      <c r="M46" s="19" t="n">
        <f aca="false">IF(J46="","",IF(L46="",Config!$C$3,L46))</f>
        <v>0.2</v>
      </c>
      <c r="N46" s="20" t="n">
        <f aca="false">IF(K46="","",ROUND(K46*(1+M46),2))</f>
        <v>24.48</v>
      </c>
      <c r="O46" s="21" t="s">
        <v>60</v>
      </c>
      <c r="P46" s="21" t="s">
        <v>61</v>
      </c>
      <c r="Q46" s="22" t="s">
        <v>62</v>
      </c>
      <c r="R46" s="22" t="s">
        <v>14</v>
      </c>
      <c r="S46" s="23" t="n">
        <f aca="false">IF(A46="","",COUNTIF(Registo!$B$2:$B$501,A46))</f>
        <v>0</v>
      </c>
      <c r="T46" s="17" t="str">
        <f aca="false">IF(OR(A46="",S46=0),"",LOOKUP(2,1/(Registo!$B$2:$B$501=A46),Registo!$E$2:$E$501))</f>
        <v/>
      </c>
      <c r="U46" s="24" t="s">
        <v>63</v>
      </c>
    </row>
    <row r="47" customFormat="false" ht="23.85" hidden="false" customHeight="false" outlineLevel="0" collapsed="false">
      <c r="A47" s="14" t="s">
        <v>152</v>
      </c>
      <c r="B47" s="15" t="s">
        <v>153</v>
      </c>
      <c r="C47" s="14" t="s">
        <v>68</v>
      </c>
      <c r="D47" s="14" t="s">
        <v>69</v>
      </c>
      <c r="E47" s="16"/>
      <c r="F47" s="16"/>
      <c r="G47" s="16"/>
      <c r="H47" s="16"/>
      <c r="I47" s="16" t="n">
        <v>48</v>
      </c>
      <c r="J47" s="17" t="n">
        <f aca="false">IF(AND(A47="",B47=""),"",IF(SUM(E47:H47)&gt;0,SUM(E47:H47),I47))</f>
        <v>48</v>
      </c>
      <c r="K47" s="17" t="n">
        <f aca="false">IF(J47="","",ROUND(IF(SUM(E47:H47)&gt;0,E47*(1+Config!$C$4)+F47*(1+Config!$C$5)+G47*(1+Config!$C$6)+H47*(1+Config!$C$7),I47*(1+Config!$C$8)),2))</f>
        <v>48.96</v>
      </c>
      <c r="L47" s="18"/>
      <c r="M47" s="19" t="n">
        <f aca="false">IF(J47="","",IF(L47="",Config!$C$3,L47))</f>
        <v>0.2</v>
      </c>
      <c r="N47" s="20" t="n">
        <f aca="false">IF(K47="","",ROUND(K47*(1+M47),2))</f>
        <v>58.75</v>
      </c>
      <c r="O47" s="21" t="s">
        <v>60</v>
      </c>
      <c r="P47" s="21" t="s">
        <v>61</v>
      </c>
      <c r="Q47" s="22" t="s">
        <v>62</v>
      </c>
      <c r="R47" s="22" t="s">
        <v>14</v>
      </c>
      <c r="S47" s="23" t="n">
        <f aca="false">IF(A47="","",COUNTIF(Registo!$B$2:$B$501,A47))</f>
        <v>0</v>
      </c>
      <c r="T47" s="17" t="str">
        <f aca="false">IF(OR(A47="",S47=0),"",LOOKUP(2,1/(Registo!$B$2:$B$501=A47),Registo!$E$2:$E$501))</f>
        <v/>
      </c>
      <c r="U47" s="24" t="s">
        <v>63</v>
      </c>
    </row>
    <row r="48" customFormat="false" ht="23.85" hidden="false" customHeight="false" outlineLevel="0" collapsed="false">
      <c r="A48" s="14" t="s">
        <v>154</v>
      </c>
      <c r="B48" s="15" t="s">
        <v>155</v>
      </c>
      <c r="C48" s="14" t="s">
        <v>68</v>
      </c>
      <c r="D48" s="14" t="s">
        <v>69</v>
      </c>
      <c r="E48" s="16"/>
      <c r="F48" s="16"/>
      <c r="G48" s="16"/>
      <c r="H48" s="16"/>
      <c r="I48" s="16" t="n">
        <v>54</v>
      </c>
      <c r="J48" s="17" t="n">
        <f aca="false">IF(AND(A48="",B48=""),"",IF(SUM(E48:H48)&gt;0,SUM(E48:H48),I48))</f>
        <v>54</v>
      </c>
      <c r="K48" s="17" t="n">
        <f aca="false">IF(J48="","",ROUND(IF(SUM(E48:H48)&gt;0,E48*(1+Config!$C$4)+F48*(1+Config!$C$5)+G48*(1+Config!$C$6)+H48*(1+Config!$C$7),I48*(1+Config!$C$8)),2))</f>
        <v>55.08</v>
      </c>
      <c r="L48" s="18"/>
      <c r="M48" s="19" t="n">
        <f aca="false">IF(J48="","",IF(L48="",Config!$C$3,L48))</f>
        <v>0.2</v>
      </c>
      <c r="N48" s="20" t="n">
        <f aca="false">IF(K48="","",ROUND(K48*(1+M48),2))</f>
        <v>66.1</v>
      </c>
      <c r="O48" s="21" t="s">
        <v>60</v>
      </c>
      <c r="P48" s="21" t="s">
        <v>61</v>
      </c>
      <c r="Q48" s="22" t="s">
        <v>62</v>
      </c>
      <c r="R48" s="22" t="s">
        <v>14</v>
      </c>
      <c r="S48" s="23" t="n">
        <f aca="false">IF(A48="","",COUNTIF(Registo!$B$2:$B$501,A48))</f>
        <v>0</v>
      </c>
      <c r="T48" s="17" t="str">
        <f aca="false">IF(OR(A48="",S48=0),"",LOOKUP(2,1/(Registo!$B$2:$B$501=A48),Registo!$E$2:$E$501))</f>
        <v/>
      </c>
      <c r="U48" s="24" t="s">
        <v>63</v>
      </c>
    </row>
    <row r="49" customFormat="false" ht="23.85" hidden="false" customHeight="false" outlineLevel="0" collapsed="false">
      <c r="A49" s="14" t="s">
        <v>156</v>
      </c>
      <c r="B49" s="15" t="s">
        <v>157</v>
      </c>
      <c r="C49" s="14" t="s">
        <v>158</v>
      </c>
      <c r="D49" s="14" t="s">
        <v>159</v>
      </c>
      <c r="E49" s="16"/>
      <c r="F49" s="16"/>
      <c r="G49" s="16"/>
      <c r="H49" s="16"/>
      <c r="I49" s="16" t="n">
        <v>95</v>
      </c>
      <c r="J49" s="17" t="n">
        <f aca="false">IF(AND(A49="",B49=""),"",IF(SUM(E49:H49)&gt;0,SUM(E49:H49),I49))</f>
        <v>95</v>
      </c>
      <c r="K49" s="17" t="n">
        <f aca="false">IF(J49="","",ROUND(IF(SUM(E49:H49)&gt;0,E49*(1+Config!$C$4)+F49*(1+Config!$C$5)+G49*(1+Config!$C$6)+H49*(1+Config!$C$7),I49*(1+Config!$C$8)),2))</f>
        <v>96.9</v>
      </c>
      <c r="L49" s="18"/>
      <c r="M49" s="19" t="n">
        <f aca="false">IF(J49="","",IF(L49="",Config!$C$3,L49))</f>
        <v>0.2</v>
      </c>
      <c r="N49" s="20" t="n">
        <f aca="false">IF(K49="","",ROUND(K49*(1+M49),2))</f>
        <v>116.28</v>
      </c>
      <c r="O49" s="21" t="s">
        <v>70</v>
      </c>
      <c r="P49" s="21"/>
      <c r="Q49" s="22" t="s">
        <v>71</v>
      </c>
      <c r="R49" s="22" t="s">
        <v>16</v>
      </c>
      <c r="S49" s="23" t="n">
        <f aca="false">IF(A49="","",COUNTIF(Registo!$B$2:$B$501,A49))</f>
        <v>0</v>
      </c>
      <c r="T49" s="17" t="str">
        <f aca="false">IF(OR(A49="",S49=0),"",LOOKUP(2,1/(Registo!$B$2:$B$501=A49),Registo!$E$2:$E$501))</f>
        <v/>
      </c>
      <c r="U49" s="24"/>
    </row>
    <row r="50" customFormat="false" ht="23.85" hidden="false" customHeight="false" outlineLevel="0" collapsed="false">
      <c r="A50" s="14" t="s">
        <v>160</v>
      </c>
      <c r="B50" s="15" t="s">
        <v>161</v>
      </c>
      <c r="C50" s="14" t="s">
        <v>158</v>
      </c>
      <c r="D50" s="14" t="s">
        <v>159</v>
      </c>
      <c r="E50" s="16"/>
      <c r="F50" s="16"/>
      <c r="G50" s="16"/>
      <c r="H50" s="16"/>
      <c r="I50" s="16" t="n">
        <v>145</v>
      </c>
      <c r="J50" s="17" t="n">
        <f aca="false">IF(AND(A50="",B50=""),"",IF(SUM(E50:H50)&gt;0,SUM(E50:H50),I50))</f>
        <v>145</v>
      </c>
      <c r="K50" s="17" t="n">
        <f aca="false">IF(J50="","",ROUND(IF(SUM(E50:H50)&gt;0,E50*(1+Config!$C$4)+F50*(1+Config!$C$5)+G50*(1+Config!$C$6)+H50*(1+Config!$C$7),I50*(1+Config!$C$8)),2))</f>
        <v>147.9</v>
      </c>
      <c r="L50" s="18"/>
      <c r="M50" s="19" t="n">
        <f aca="false">IF(J50="","",IF(L50="",Config!$C$3,L50))</f>
        <v>0.2</v>
      </c>
      <c r="N50" s="20" t="n">
        <f aca="false">IF(K50="","",ROUND(K50*(1+M50),2))</f>
        <v>177.48</v>
      </c>
      <c r="O50" s="21" t="s">
        <v>70</v>
      </c>
      <c r="P50" s="21"/>
      <c r="Q50" s="22" t="s">
        <v>71</v>
      </c>
      <c r="R50" s="22" t="s">
        <v>16</v>
      </c>
      <c r="S50" s="23" t="n">
        <f aca="false">IF(A50="","",COUNTIF(Registo!$B$2:$B$501,A50))</f>
        <v>0</v>
      </c>
      <c r="T50" s="17" t="str">
        <f aca="false">IF(OR(A50="",S50=0),"",LOOKUP(2,1/(Registo!$B$2:$B$501=A50),Registo!$E$2:$E$501))</f>
        <v/>
      </c>
      <c r="U50" s="24"/>
    </row>
    <row r="51" customFormat="false" ht="23.85" hidden="false" customHeight="false" outlineLevel="0" collapsed="false">
      <c r="A51" s="14" t="s">
        <v>162</v>
      </c>
      <c r="B51" s="15" t="s">
        <v>163</v>
      </c>
      <c r="C51" s="14" t="s">
        <v>158</v>
      </c>
      <c r="D51" s="14" t="s">
        <v>159</v>
      </c>
      <c r="E51" s="16"/>
      <c r="F51" s="16"/>
      <c r="G51" s="16"/>
      <c r="H51" s="16"/>
      <c r="I51" s="16" t="n">
        <v>165</v>
      </c>
      <c r="J51" s="17" t="n">
        <f aca="false">IF(AND(A51="",B51=""),"",IF(SUM(E51:H51)&gt;0,SUM(E51:H51),I51))</f>
        <v>165</v>
      </c>
      <c r="K51" s="17" t="n">
        <f aca="false">IF(J51="","",ROUND(IF(SUM(E51:H51)&gt;0,E51*(1+Config!$C$4)+F51*(1+Config!$C$5)+G51*(1+Config!$C$6)+H51*(1+Config!$C$7),I51*(1+Config!$C$8)),2))</f>
        <v>168.3</v>
      </c>
      <c r="L51" s="18"/>
      <c r="M51" s="19" t="n">
        <f aca="false">IF(J51="","",IF(L51="",Config!$C$3,L51))</f>
        <v>0.2</v>
      </c>
      <c r="N51" s="20" t="n">
        <f aca="false">IF(K51="","",ROUND(K51*(1+M51),2))</f>
        <v>201.96</v>
      </c>
      <c r="O51" s="21" t="s">
        <v>70</v>
      </c>
      <c r="P51" s="21"/>
      <c r="Q51" s="22" t="s">
        <v>71</v>
      </c>
      <c r="R51" s="22" t="s">
        <v>16</v>
      </c>
      <c r="S51" s="23" t="n">
        <f aca="false">IF(A51="","",COUNTIF(Registo!$B$2:$B$501,A51))</f>
        <v>0</v>
      </c>
      <c r="T51" s="17" t="str">
        <f aca="false">IF(OR(A51="",S51=0),"",LOOKUP(2,1/(Registo!$B$2:$B$501=A51),Registo!$E$2:$E$501))</f>
        <v/>
      </c>
      <c r="U51" s="24"/>
    </row>
    <row r="52" customFormat="false" ht="23.85" hidden="false" customHeight="false" outlineLevel="0" collapsed="false">
      <c r="A52" s="14" t="s">
        <v>164</v>
      </c>
      <c r="B52" s="15" t="s">
        <v>165</v>
      </c>
      <c r="C52" s="14" t="s">
        <v>158</v>
      </c>
      <c r="D52" s="14" t="s">
        <v>159</v>
      </c>
      <c r="E52" s="16"/>
      <c r="F52" s="16"/>
      <c r="G52" s="16"/>
      <c r="H52" s="16"/>
      <c r="I52" s="16" t="n">
        <v>155</v>
      </c>
      <c r="J52" s="17" t="n">
        <f aca="false">IF(AND(A52="",B52=""),"",IF(SUM(E52:H52)&gt;0,SUM(E52:H52),I52))</f>
        <v>155</v>
      </c>
      <c r="K52" s="17" t="n">
        <f aca="false">IF(J52="","",ROUND(IF(SUM(E52:H52)&gt;0,E52*(1+Config!$C$4)+F52*(1+Config!$C$5)+G52*(1+Config!$C$6)+H52*(1+Config!$C$7),I52*(1+Config!$C$8)),2))</f>
        <v>158.1</v>
      </c>
      <c r="L52" s="18"/>
      <c r="M52" s="19" t="n">
        <f aca="false">IF(J52="","",IF(L52="",Config!$C$3,L52))</f>
        <v>0.2</v>
      </c>
      <c r="N52" s="20" t="n">
        <f aca="false">IF(K52="","",ROUND(K52*(1+M52),2))</f>
        <v>189.72</v>
      </c>
      <c r="O52" s="21" t="s">
        <v>70</v>
      </c>
      <c r="P52" s="21"/>
      <c r="Q52" s="22" t="s">
        <v>71</v>
      </c>
      <c r="R52" s="22" t="s">
        <v>16</v>
      </c>
      <c r="S52" s="23" t="n">
        <f aca="false">IF(A52="","",COUNTIF(Registo!$B$2:$B$501,A52))</f>
        <v>0</v>
      </c>
      <c r="T52" s="17" t="str">
        <f aca="false">IF(OR(A52="",S52=0),"",LOOKUP(2,1/(Registo!$B$2:$B$501=A52),Registo!$E$2:$E$501))</f>
        <v/>
      </c>
      <c r="U52" s="24"/>
    </row>
    <row r="53" customFormat="false" ht="23.85" hidden="false" customHeight="false" outlineLevel="0" collapsed="false">
      <c r="A53" s="14" t="s">
        <v>166</v>
      </c>
      <c r="B53" s="15" t="s">
        <v>167</v>
      </c>
      <c r="C53" s="14" t="s">
        <v>158</v>
      </c>
      <c r="D53" s="14" t="s">
        <v>159</v>
      </c>
      <c r="E53" s="16"/>
      <c r="F53" s="16"/>
      <c r="G53" s="16"/>
      <c r="H53" s="16"/>
      <c r="I53" s="16" t="n">
        <v>150</v>
      </c>
      <c r="J53" s="17" t="n">
        <f aca="false">IF(AND(A53="",B53=""),"",IF(SUM(E53:H53)&gt;0,SUM(E53:H53),I53))</f>
        <v>150</v>
      </c>
      <c r="K53" s="17" t="n">
        <f aca="false">IF(J53="","",ROUND(IF(SUM(E53:H53)&gt;0,E53*(1+Config!$C$4)+F53*(1+Config!$C$5)+G53*(1+Config!$C$6)+H53*(1+Config!$C$7),I53*(1+Config!$C$8)),2))</f>
        <v>153</v>
      </c>
      <c r="L53" s="18"/>
      <c r="M53" s="19" t="n">
        <f aca="false">IF(J53="","",IF(L53="",Config!$C$3,L53))</f>
        <v>0.2</v>
      </c>
      <c r="N53" s="20" t="n">
        <f aca="false">IF(K53="","",ROUND(K53*(1+M53),2))</f>
        <v>183.6</v>
      </c>
      <c r="O53" s="21" t="s">
        <v>70</v>
      </c>
      <c r="P53" s="21"/>
      <c r="Q53" s="22" t="s">
        <v>71</v>
      </c>
      <c r="R53" s="22" t="s">
        <v>16</v>
      </c>
      <c r="S53" s="23" t="n">
        <f aca="false">IF(A53="","",COUNTIF(Registo!$B$2:$B$501,A53))</f>
        <v>0</v>
      </c>
      <c r="T53" s="17" t="str">
        <f aca="false">IF(OR(A53="",S53=0),"",LOOKUP(2,1/(Registo!$B$2:$B$501=A53),Registo!$E$2:$E$501))</f>
        <v/>
      </c>
      <c r="U53" s="24"/>
    </row>
    <row r="54" customFormat="false" ht="23.85" hidden="false" customHeight="false" outlineLevel="0" collapsed="false">
      <c r="A54" s="14" t="s">
        <v>168</v>
      </c>
      <c r="B54" s="15" t="s">
        <v>169</v>
      </c>
      <c r="C54" s="14" t="s">
        <v>158</v>
      </c>
      <c r="D54" s="14" t="s">
        <v>69</v>
      </c>
      <c r="E54" s="16"/>
      <c r="F54" s="16"/>
      <c r="G54" s="16"/>
      <c r="H54" s="16"/>
      <c r="I54" s="16" t="n">
        <v>62</v>
      </c>
      <c r="J54" s="17" t="n">
        <f aca="false">IF(AND(A54="",B54=""),"",IF(SUM(E54:H54)&gt;0,SUM(E54:H54),I54))</f>
        <v>62</v>
      </c>
      <c r="K54" s="17" t="n">
        <f aca="false">IF(J54="","",ROUND(IF(SUM(E54:H54)&gt;0,E54*(1+Config!$C$4)+F54*(1+Config!$C$5)+G54*(1+Config!$C$6)+H54*(1+Config!$C$7),I54*(1+Config!$C$8)),2))</f>
        <v>63.24</v>
      </c>
      <c r="L54" s="18"/>
      <c r="M54" s="19" t="n">
        <f aca="false">IF(J54="","",IF(L54="",Config!$C$3,L54))</f>
        <v>0.2</v>
      </c>
      <c r="N54" s="20" t="n">
        <f aca="false">IF(K54="","",ROUND(K54*(1+M54),2))</f>
        <v>75.89</v>
      </c>
      <c r="O54" s="21" t="s">
        <v>70</v>
      </c>
      <c r="P54" s="21"/>
      <c r="Q54" s="22" t="s">
        <v>71</v>
      </c>
      <c r="R54" s="22" t="s">
        <v>16</v>
      </c>
      <c r="S54" s="23" t="n">
        <f aca="false">IF(A54="","",COUNTIF(Registo!$B$2:$B$501,A54))</f>
        <v>0</v>
      </c>
      <c r="T54" s="17" t="str">
        <f aca="false">IF(OR(A54="",S54=0),"",LOOKUP(2,1/(Registo!$B$2:$B$501=A54),Registo!$E$2:$E$501))</f>
        <v/>
      </c>
      <c r="U54" s="24"/>
    </row>
    <row r="55" customFormat="false" ht="23.85" hidden="false" customHeight="false" outlineLevel="0" collapsed="false">
      <c r="A55" s="14" t="s">
        <v>170</v>
      </c>
      <c r="B55" s="15" t="s">
        <v>171</v>
      </c>
      <c r="C55" s="14" t="s">
        <v>158</v>
      </c>
      <c r="D55" s="14" t="s">
        <v>159</v>
      </c>
      <c r="E55" s="16"/>
      <c r="F55" s="16"/>
      <c r="G55" s="16"/>
      <c r="H55" s="16"/>
      <c r="I55" s="16" t="n">
        <v>175</v>
      </c>
      <c r="J55" s="17" t="n">
        <f aca="false">IF(AND(A55="",B55=""),"",IF(SUM(E55:H55)&gt;0,SUM(E55:H55),I55))</f>
        <v>175</v>
      </c>
      <c r="K55" s="17" t="n">
        <f aca="false">IF(J55="","",ROUND(IF(SUM(E55:H55)&gt;0,E55*(1+Config!$C$4)+F55*(1+Config!$C$5)+G55*(1+Config!$C$6)+H55*(1+Config!$C$7),I55*(1+Config!$C$8)),2))</f>
        <v>178.5</v>
      </c>
      <c r="L55" s="18"/>
      <c r="M55" s="19" t="n">
        <f aca="false">IF(J55="","",IF(L55="",Config!$C$3,L55))</f>
        <v>0.2</v>
      </c>
      <c r="N55" s="20" t="n">
        <f aca="false">IF(K55="","",ROUND(K55*(1+M55),2))</f>
        <v>214.2</v>
      </c>
      <c r="O55" s="21" t="s">
        <v>70</v>
      </c>
      <c r="P55" s="21"/>
      <c r="Q55" s="22" t="s">
        <v>71</v>
      </c>
      <c r="R55" s="22" t="s">
        <v>16</v>
      </c>
      <c r="S55" s="23" t="n">
        <f aca="false">IF(A55="","",COUNTIF(Registo!$B$2:$B$501,A55))</f>
        <v>0</v>
      </c>
      <c r="T55" s="17" t="str">
        <f aca="false">IF(OR(A55="",S55=0),"",LOOKUP(2,1/(Registo!$B$2:$B$501=A55),Registo!$E$2:$E$501))</f>
        <v/>
      </c>
      <c r="U55" s="24"/>
    </row>
    <row r="56" customFormat="false" ht="23.85" hidden="false" customHeight="false" outlineLevel="0" collapsed="false">
      <c r="A56" s="14" t="s">
        <v>172</v>
      </c>
      <c r="B56" s="15" t="s">
        <v>173</v>
      </c>
      <c r="C56" s="14" t="s">
        <v>158</v>
      </c>
      <c r="D56" s="14" t="s">
        <v>174</v>
      </c>
      <c r="E56" s="16"/>
      <c r="F56" s="16"/>
      <c r="G56" s="16"/>
      <c r="H56" s="16"/>
      <c r="I56" s="16" t="n">
        <v>1.45</v>
      </c>
      <c r="J56" s="17" t="n">
        <f aca="false">IF(AND(A56="",B56=""),"",IF(SUM(E56:H56)&gt;0,SUM(E56:H56),I56))</f>
        <v>1.45</v>
      </c>
      <c r="K56" s="17" t="n">
        <f aca="false">IF(J56="","",ROUND(IF(SUM(E56:H56)&gt;0,E56*(1+Config!$C$4)+F56*(1+Config!$C$5)+G56*(1+Config!$C$6)+H56*(1+Config!$C$7),I56*(1+Config!$C$8)),2))</f>
        <v>1.48</v>
      </c>
      <c r="L56" s="18"/>
      <c r="M56" s="19" t="n">
        <f aca="false">IF(J56="","",IF(L56="",Config!$C$3,L56))</f>
        <v>0.2</v>
      </c>
      <c r="N56" s="20" t="n">
        <f aca="false">IF(K56="","",ROUND(K56*(1+M56),2))</f>
        <v>1.78</v>
      </c>
      <c r="O56" s="21" t="s">
        <v>70</v>
      </c>
      <c r="P56" s="21"/>
      <c r="Q56" s="22" t="s">
        <v>71</v>
      </c>
      <c r="R56" s="22" t="s">
        <v>16</v>
      </c>
      <c r="S56" s="23" t="n">
        <f aca="false">IF(A56="","",COUNTIF(Registo!$B$2:$B$501,A56))</f>
        <v>0</v>
      </c>
      <c r="T56" s="17" t="str">
        <f aca="false">IF(OR(A56="",S56=0),"",LOOKUP(2,1/(Registo!$B$2:$B$501=A56),Registo!$E$2:$E$501))</f>
        <v/>
      </c>
      <c r="U56" s="24"/>
    </row>
    <row r="57" customFormat="false" ht="23.85" hidden="false" customHeight="false" outlineLevel="0" collapsed="false">
      <c r="A57" s="14" t="s">
        <v>175</v>
      </c>
      <c r="B57" s="15" t="s">
        <v>176</v>
      </c>
      <c r="C57" s="14" t="s">
        <v>158</v>
      </c>
      <c r="D57" s="14" t="s">
        <v>174</v>
      </c>
      <c r="E57" s="16"/>
      <c r="F57" s="16"/>
      <c r="G57" s="16"/>
      <c r="H57" s="16"/>
      <c r="I57" s="16" t="n">
        <v>1.55</v>
      </c>
      <c r="J57" s="17" t="n">
        <f aca="false">IF(AND(A57="",B57=""),"",IF(SUM(E57:H57)&gt;0,SUM(E57:H57),I57))</f>
        <v>1.55</v>
      </c>
      <c r="K57" s="17" t="n">
        <f aca="false">IF(J57="","",ROUND(IF(SUM(E57:H57)&gt;0,E57*(1+Config!$C$4)+F57*(1+Config!$C$5)+G57*(1+Config!$C$6)+H57*(1+Config!$C$7),I57*(1+Config!$C$8)),2))</f>
        <v>1.58</v>
      </c>
      <c r="L57" s="18"/>
      <c r="M57" s="19" t="n">
        <f aca="false">IF(J57="","",IF(L57="",Config!$C$3,L57))</f>
        <v>0.2</v>
      </c>
      <c r="N57" s="20" t="n">
        <f aca="false">IF(K57="","",ROUND(K57*(1+M57),2))</f>
        <v>1.9</v>
      </c>
      <c r="O57" s="21" t="s">
        <v>70</v>
      </c>
      <c r="P57" s="21"/>
      <c r="Q57" s="22" t="s">
        <v>71</v>
      </c>
      <c r="R57" s="22" t="s">
        <v>16</v>
      </c>
      <c r="S57" s="23" t="n">
        <f aca="false">IF(A57="","",COUNTIF(Registo!$B$2:$B$501,A57))</f>
        <v>0</v>
      </c>
      <c r="T57" s="17" t="str">
        <f aca="false">IF(OR(A57="",S57=0),"",LOOKUP(2,1/(Registo!$B$2:$B$501=A57),Registo!$E$2:$E$501))</f>
        <v/>
      </c>
      <c r="U57" s="24"/>
    </row>
    <row r="58" customFormat="false" ht="23.85" hidden="false" customHeight="false" outlineLevel="0" collapsed="false">
      <c r="A58" s="14" t="s">
        <v>177</v>
      </c>
      <c r="B58" s="15" t="s">
        <v>178</v>
      </c>
      <c r="C58" s="14" t="s">
        <v>158</v>
      </c>
      <c r="D58" s="14" t="s">
        <v>69</v>
      </c>
      <c r="E58" s="16"/>
      <c r="F58" s="16"/>
      <c r="G58" s="16"/>
      <c r="H58" s="16"/>
      <c r="I58" s="16" t="n">
        <v>22</v>
      </c>
      <c r="J58" s="17" t="n">
        <f aca="false">IF(AND(A58="",B58=""),"",IF(SUM(E58:H58)&gt;0,SUM(E58:H58),I58))</f>
        <v>22</v>
      </c>
      <c r="K58" s="17" t="n">
        <f aca="false">IF(J58="","",ROUND(IF(SUM(E58:H58)&gt;0,E58*(1+Config!$C$4)+F58*(1+Config!$C$5)+G58*(1+Config!$C$6)+H58*(1+Config!$C$7),I58*(1+Config!$C$8)),2))</f>
        <v>22.44</v>
      </c>
      <c r="L58" s="18"/>
      <c r="M58" s="19" t="n">
        <f aca="false">IF(J58="","",IF(L58="",Config!$C$3,L58))</f>
        <v>0.2</v>
      </c>
      <c r="N58" s="20" t="n">
        <f aca="false">IF(K58="","",ROUND(K58*(1+M58),2))</f>
        <v>26.93</v>
      </c>
      <c r="O58" s="21" t="s">
        <v>70</v>
      </c>
      <c r="P58" s="21"/>
      <c r="Q58" s="22" t="s">
        <v>71</v>
      </c>
      <c r="R58" s="22" t="s">
        <v>16</v>
      </c>
      <c r="S58" s="23" t="n">
        <f aca="false">IF(A58="","",COUNTIF(Registo!$B$2:$B$501,A58))</f>
        <v>0</v>
      </c>
      <c r="T58" s="17" t="str">
        <f aca="false">IF(OR(A58="",S58=0),"",LOOKUP(2,1/(Registo!$B$2:$B$501=A58),Registo!$E$2:$E$501))</f>
        <v/>
      </c>
      <c r="U58" s="24"/>
    </row>
    <row r="59" customFormat="false" ht="23.85" hidden="false" customHeight="false" outlineLevel="0" collapsed="false">
      <c r="A59" s="14" t="s">
        <v>179</v>
      </c>
      <c r="B59" s="15" t="s">
        <v>180</v>
      </c>
      <c r="C59" s="14" t="s">
        <v>158</v>
      </c>
      <c r="D59" s="14" t="s">
        <v>69</v>
      </c>
      <c r="E59" s="16"/>
      <c r="F59" s="16"/>
      <c r="G59" s="16"/>
      <c r="H59" s="16"/>
      <c r="I59" s="16" t="n">
        <v>28</v>
      </c>
      <c r="J59" s="17" t="n">
        <f aca="false">IF(AND(A59="",B59=""),"",IF(SUM(E59:H59)&gt;0,SUM(E59:H59),I59))</f>
        <v>28</v>
      </c>
      <c r="K59" s="17" t="n">
        <f aca="false">IF(J59="","",ROUND(IF(SUM(E59:H59)&gt;0,E59*(1+Config!$C$4)+F59*(1+Config!$C$5)+G59*(1+Config!$C$6)+H59*(1+Config!$C$7),I59*(1+Config!$C$8)),2))</f>
        <v>28.56</v>
      </c>
      <c r="L59" s="18"/>
      <c r="M59" s="19" t="n">
        <f aca="false">IF(J59="","",IF(L59="",Config!$C$3,L59))</f>
        <v>0.2</v>
      </c>
      <c r="N59" s="20" t="n">
        <f aca="false">IF(K59="","",ROUND(K59*(1+M59),2))</f>
        <v>34.27</v>
      </c>
      <c r="O59" s="21" t="s">
        <v>70</v>
      </c>
      <c r="P59" s="21"/>
      <c r="Q59" s="22" t="s">
        <v>71</v>
      </c>
      <c r="R59" s="22" t="s">
        <v>16</v>
      </c>
      <c r="S59" s="23" t="n">
        <f aca="false">IF(A59="","",COUNTIF(Registo!$B$2:$B$501,A59))</f>
        <v>0</v>
      </c>
      <c r="T59" s="17" t="str">
        <f aca="false">IF(OR(A59="",S59=0),"",LOOKUP(2,1/(Registo!$B$2:$B$501=A59),Registo!$E$2:$E$501))</f>
        <v/>
      </c>
      <c r="U59" s="24"/>
    </row>
    <row r="60" customFormat="false" ht="23.85" hidden="false" customHeight="false" outlineLevel="0" collapsed="false">
      <c r="A60" s="14" t="s">
        <v>181</v>
      </c>
      <c r="B60" s="15" t="s">
        <v>182</v>
      </c>
      <c r="C60" s="14" t="s">
        <v>158</v>
      </c>
      <c r="D60" s="14" t="s">
        <v>69</v>
      </c>
      <c r="E60" s="16"/>
      <c r="F60" s="16"/>
      <c r="G60" s="16"/>
      <c r="H60" s="16"/>
      <c r="I60" s="16" t="n">
        <v>18</v>
      </c>
      <c r="J60" s="17" t="n">
        <f aca="false">IF(AND(A60="",B60=""),"",IF(SUM(E60:H60)&gt;0,SUM(E60:H60),I60))</f>
        <v>18</v>
      </c>
      <c r="K60" s="17" t="n">
        <f aca="false">IF(J60="","",ROUND(IF(SUM(E60:H60)&gt;0,E60*(1+Config!$C$4)+F60*(1+Config!$C$5)+G60*(1+Config!$C$6)+H60*(1+Config!$C$7),I60*(1+Config!$C$8)),2))</f>
        <v>18.36</v>
      </c>
      <c r="L60" s="18"/>
      <c r="M60" s="19" t="n">
        <f aca="false">IF(J60="","",IF(L60="",Config!$C$3,L60))</f>
        <v>0.2</v>
      </c>
      <c r="N60" s="20" t="n">
        <f aca="false">IF(K60="","",ROUND(K60*(1+M60),2))</f>
        <v>22.03</v>
      </c>
      <c r="O60" s="21" t="s">
        <v>70</v>
      </c>
      <c r="P60" s="21"/>
      <c r="Q60" s="22" t="s">
        <v>71</v>
      </c>
      <c r="R60" s="22" t="s">
        <v>16</v>
      </c>
      <c r="S60" s="23" t="n">
        <f aca="false">IF(A60="","",COUNTIF(Registo!$B$2:$B$501,A60))</f>
        <v>0</v>
      </c>
      <c r="T60" s="17" t="str">
        <f aca="false">IF(OR(A60="",S60=0),"",LOOKUP(2,1/(Registo!$B$2:$B$501=A60),Registo!$E$2:$E$501))</f>
        <v/>
      </c>
      <c r="U60" s="24"/>
    </row>
    <row r="61" customFormat="false" ht="23.85" hidden="false" customHeight="false" outlineLevel="0" collapsed="false">
      <c r="A61" s="14" t="s">
        <v>183</v>
      </c>
      <c r="B61" s="15" t="s">
        <v>184</v>
      </c>
      <c r="C61" s="14" t="s">
        <v>158</v>
      </c>
      <c r="D61" s="14" t="s">
        <v>104</v>
      </c>
      <c r="E61" s="16"/>
      <c r="F61" s="16"/>
      <c r="G61" s="16"/>
      <c r="H61" s="16"/>
      <c r="I61" s="16" t="n">
        <v>120</v>
      </c>
      <c r="J61" s="17" t="n">
        <f aca="false">IF(AND(A61="",B61=""),"",IF(SUM(E61:H61)&gt;0,SUM(E61:H61),I61))</f>
        <v>120</v>
      </c>
      <c r="K61" s="17" t="n">
        <f aca="false">IF(J61="","",ROUND(IF(SUM(E61:H61)&gt;0,E61*(1+Config!$C$4)+F61*(1+Config!$C$5)+G61*(1+Config!$C$6)+H61*(1+Config!$C$7),I61*(1+Config!$C$8)),2))</f>
        <v>122.4</v>
      </c>
      <c r="L61" s="18"/>
      <c r="M61" s="19" t="n">
        <f aca="false">IF(J61="","",IF(L61="",Config!$C$3,L61))</f>
        <v>0.2</v>
      </c>
      <c r="N61" s="20" t="n">
        <f aca="false">IF(K61="","",ROUND(K61*(1+M61),2))</f>
        <v>146.88</v>
      </c>
      <c r="O61" s="21" t="s">
        <v>70</v>
      </c>
      <c r="P61" s="21"/>
      <c r="Q61" s="22" t="s">
        <v>71</v>
      </c>
      <c r="R61" s="22" t="s">
        <v>16</v>
      </c>
      <c r="S61" s="23" t="n">
        <f aca="false">IF(A61="","",COUNTIF(Registo!$B$2:$B$501,A61))</f>
        <v>0</v>
      </c>
      <c r="T61" s="17" t="str">
        <f aca="false">IF(OR(A61="",S61=0),"",LOOKUP(2,1/(Registo!$B$2:$B$501=A61),Registo!$E$2:$E$501))</f>
        <v/>
      </c>
      <c r="U61" s="24"/>
    </row>
    <row r="62" customFormat="false" ht="23.85" hidden="false" customHeight="false" outlineLevel="0" collapsed="false">
      <c r="A62" s="14" t="s">
        <v>185</v>
      </c>
      <c r="B62" s="15" t="s">
        <v>186</v>
      </c>
      <c r="C62" s="14" t="s">
        <v>158</v>
      </c>
      <c r="D62" s="14" t="s">
        <v>69</v>
      </c>
      <c r="E62" s="16"/>
      <c r="F62" s="16"/>
      <c r="G62" s="16"/>
      <c r="H62" s="16"/>
      <c r="I62" s="16" t="n">
        <v>185</v>
      </c>
      <c r="J62" s="17" t="n">
        <f aca="false">IF(AND(A62="",B62=""),"",IF(SUM(E62:H62)&gt;0,SUM(E62:H62),I62))</f>
        <v>185</v>
      </c>
      <c r="K62" s="17" t="n">
        <f aca="false">IF(J62="","",ROUND(IF(SUM(E62:H62)&gt;0,E62*(1+Config!$C$4)+F62*(1+Config!$C$5)+G62*(1+Config!$C$6)+H62*(1+Config!$C$7),I62*(1+Config!$C$8)),2))</f>
        <v>188.7</v>
      </c>
      <c r="L62" s="18"/>
      <c r="M62" s="19" t="n">
        <f aca="false">IF(J62="","",IF(L62="",Config!$C$3,L62))</f>
        <v>0.2</v>
      </c>
      <c r="N62" s="20" t="n">
        <f aca="false">IF(K62="","",ROUND(K62*(1+M62),2))</f>
        <v>226.44</v>
      </c>
      <c r="O62" s="21" t="s">
        <v>70</v>
      </c>
      <c r="P62" s="21"/>
      <c r="Q62" s="22" t="s">
        <v>71</v>
      </c>
      <c r="R62" s="22" t="s">
        <v>16</v>
      </c>
      <c r="S62" s="23" t="n">
        <f aca="false">IF(A62="","",COUNTIF(Registo!$B$2:$B$501,A62))</f>
        <v>0</v>
      </c>
      <c r="T62" s="17" t="str">
        <f aca="false">IF(OR(A62="",S62=0),"",LOOKUP(2,1/(Registo!$B$2:$B$501=A62),Registo!$E$2:$E$501))</f>
        <v/>
      </c>
      <c r="U62" s="24"/>
    </row>
    <row r="63" customFormat="false" ht="23.85" hidden="false" customHeight="false" outlineLevel="0" collapsed="false">
      <c r="A63" s="14" t="s">
        <v>187</v>
      </c>
      <c r="B63" s="15" t="s">
        <v>188</v>
      </c>
      <c r="C63" s="14" t="s">
        <v>158</v>
      </c>
      <c r="D63" s="14" t="s">
        <v>159</v>
      </c>
      <c r="E63" s="16"/>
      <c r="F63" s="16"/>
      <c r="G63" s="16"/>
      <c r="H63" s="16"/>
      <c r="I63" s="16" t="n">
        <v>12</v>
      </c>
      <c r="J63" s="17" t="n">
        <f aca="false">IF(AND(A63="",B63=""),"",IF(SUM(E63:H63)&gt;0,SUM(E63:H63),I63))</f>
        <v>12</v>
      </c>
      <c r="K63" s="17" t="n">
        <f aca="false">IF(J63="","",ROUND(IF(SUM(E63:H63)&gt;0,E63*(1+Config!$C$4)+F63*(1+Config!$C$5)+G63*(1+Config!$C$6)+H63*(1+Config!$C$7),I63*(1+Config!$C$8)),2))</f>
        <v>12.24</v>
      </c>
      <c r="L63" s="18"/>
      <c r="M63" s="19" t="n">
        <f aca="false">IF(J63="","",IF(L63="",Config!$C$3,L63))</f>
        <v>0.2</v>
      </c>
      <c r="N63" s="20" t="n">
        <f aca="false">IF(K63="","",ROUND(K63*(1+M63),2))</f>
        <v>14.69</v>
      </c>
      <c r="O63" s="21" t="s">
        <v>70</v>
      </c>
      <c r="P63" s="21"/>
      <c r="Q63" s="22" t="s">
        <v>71</v>
      </c>
      <c r="R63" s="22" t="s">
        <v>16</v>
      </c>
      <c r="S63" s="23" t="n">
        <f aca="false">IF(A63="","",COUNTIF(Registo!$B$2:$B$501,A63))</f>
        <v>0</v>
      </c>
      <c r="T63" s="17" t="str">
        <f aca="false">IF(OR(A63="",S63=0),"",LOOKUP(2,1/(Registo!$B$2:$B$501=A63),Registo!$E$2:$E$501))</f>
        <v/>
      </c>
      <c r="U63" s="24"/>
    </row>
    <row r="64" customFormat="false" ht="23.85" hidden="false" customHeight="false" outlineLevel="0" collapsed="false">
      <c r="A64" s="14" t="s">
        <v>189</v>
      </c>
      <c r="B64" s="15" t="s">
        <v>190</v>
      </c>
      <c r="C64" s="14" t="s">
        <v>158</v>
      </c>
      <c r="D64" s="14" t="s">
        <v>159</v>
      </c>
      <c r="E64" s="16"/>
      <c r="F64" s="16"/>
      <c r="G64" s="16"/>
      <c r="H64" s="16"/>
      <c r="I64" s="16" t="n">
        <v>45</v>
      </c>
      <c r="J64" s="17" t="n">
        <f aca="false">IF(AND(A64="",B64=""),"",IF(SUM(E64:H64)&gt;0,SUM(E64:H64),I64))</f>
        <v>45</v>
      </c>
      <c r="K64" s="17" t="n">
        <f aca="false">IF(J64="","",ROUND(IF(SUM(E64:H64)&gt;0,E64*(1+Config!$C$4)+F64*(1+Config!$C$5)+G64*(1+Config!$C$6)+H64*(1+Config!$C$7),I64*(1+Config!$C$8)),2))</f>
        <v>45.9</v>
      </c>
      <c r="L64" s="18"/>
      <c r="M64" s="19" t="n">
        <f aca="false">IF(J64="","",IF(L64="",Config!$C$3,L64))</f>
        <v>0.2</v>
      </c>
      <c r="N64" s="20" t="n">
        <f aca="false">IF(K64="","",ROUND(K64*(1+M64),2))</f>
        <v>55.08</v>
      </c>
      <c r="O64" s="21" t="s">
        <v>70</v>
      </c>
      <c r="P64" s="21"/>
      <c r="Q64" s="22" t="s">
        <v>71</v>
      </c>
      <c r="R64" s="22" t="s">
        <v>16</v>
      </c>
      <c r="S64" s="23" t="n">
        <f aca="false">IF(A64="","",COUNTIF(Registo!$B$2:$B$501,A64))</f>
        <v>0</v>
      </c>
      <c r="T64" s="17" t="str">
        <f aca="false">IF(OR(A64="",S64=0),"",LOOKUP(2,1/(Registo!$B$2:$B$501=A64),Registo!$E$2:$E$501))</f>
        <v/>
      </c>
      <c r="U64" s="24"/>
    </row>
    <row r="65" customFormat="false" ht="23.85" hidden="false" customHeight="false" outlineLevel="0" collapsed="false">
      <c r="A65" s="14" t="s">
        <v>191</v>
      </c>
      <c r="B65" s="15" t="s">
        <v>192</v>
      </c>
      <c r="C65" s="14" t="s">
        <v>158</v>
      </c>
      <c r="D65" s="14" t="s">
        <v>159</v>
      </c>
      <c r="E65" s="16"/>
      <c r="F65" s="16"/>
      <c r="G65" s="16"/>
      <c r="H65" s="16"/>
      <c r="I65" s="16" t="n">
        <v>18</v>
      </c>
      <c r="J65" s="17" t="n">
        <f aca="false">IF(AND(A65="",B65=""),"",IF(SUM(E65:H65)&gt;0,SUM(E65:H65),I65))</f>
        <v>18</v>
      </c>
      <c r="K65" s="17" t="n">
        <f aca="false">IF(J65="","",ROUND(IF(SUM(E65:H65)&gt;0,E65*(1+Config!$C$4)+F65*(1+Config!$C$5)+G65*(1+Config!$C$6)+H65*(1+Config!$C$7),I65*(1+Config!$C$8)),2))</f>
        <v>18.36</v>
      </c>
      <c r="L65" s="18"/>
      <c r="M65" s="19" t="n">
        <f aca="false">IF(J65="","",IF(L65="",Config!$C$3,L65))</f>
        <v>0.2</v>
      </c>
      <c r="N65" s="20" t="n">
        <f aca="false">IF(K65="","",ROUND(K65*(1+M65),2))</f>
        <v>22.03</v>
      </c>
      <c r="O65" s="21" t="s">
        <v>70</v>
      </c>
      <c r="P65" s="21"/>
      <c r="Q65" s="22" t="s">
        <v>71</v>
      </c>
      <c r="R65" s="22" t="s">
        <v>16</v>
      </c>
      <c r="S65" s="23" t="n">
        <f aca="false">IF(A65="","",COUNTIF(Registo!$B$2:$B$501,A65))</f>
        <v>0</v>
      </c>
      <c r="T65" s="17" t="str">
        <f aca="false">IF(OR(A65="",S65=0),"",LOOKUP(2,1/(Registo!$B$2:$B$501=A65),Registo!$E$2:$E$501))</f>
        <v/>
      </c>
      <c r="U65" s="24"/>
    </row>
    <row r="66" customFormat="false" ht="23.85" hidden="false" customHeight="false" outlineLevel="0" collapsed="false">
      <c r="A66" s="14" t="s">
        <v>193</v>
      </c>
      <c r="B66" s="15" t="s">
        <v>194</v>
      </c>
      <c r="C66" s="14" t="s">
        <v>158</v>
      </c>
      <c r="D66" s="14" t="s">
        <v>104</v>
      </c>
      <c r="E66" s="16"/>
      <c r="F66" s="16"/>
      <c r="G66" s="16"/>
      <c r="H66" s="16"/>
      <c r="I66" s="16" t="n">
        <v>85</v>
      </c>
      <c r="J66" s="17" t="n">
        <f aca="false">IF(AND(A66="",B66=""),"",IF(SUM(E66:H66)&gt;0,SUM(E66:H66),I66))</f>
        <v>85</v>
      </c>
      <c r="K66" s="17" t="n">
        <f aca="false">IF(J66="","",ROUND(IF(SUM(E66:H66)&gt;0,E66*(1+Config!$C$4)+F66*(1+Config!$C$5)+G66*(1+Config!$C$6)+H66*(1+Config!$C$7),I66*(1+Config!$C$8)),2))</f>
        <v>86.7</v>
      </c>
      <c r="L66" s="18"/>
      <c r="M66" s="19" t="n">
        <f aca="false">IF(J66="","",IF(L66="",Config!$C$3,L66))</f>
        <v>0.2</v>
      </c>
      <c r="N66" s="20" t="n">
        <f aca="false">IF(K66="","",ROUND(K66*(1+M66),2))</f>
        <v>104.04</v>
      </c>
      <c r="O66" s="21" t="s">
        <v>70</v>
      </c>
      <c r="P66" s="21"/>
      <c r="Q66" s="22" t="s">
        <v>71</v>
      </c>
      <c r="R66" s="22" t="s">
        <v>16</v>
      </c>
      <c r="S66" s="23" t="n">
        <f aca="false">IF(A66="","",COUNTIF(Registo!$B$2:$B$501,A66))</f>
        <v>0</v>
      </c>
      <c r="T66" s="17" t="str">
        <f aca="false">IF(OR(A66="",S66=0),"",LOOKUP(2,1/(Registo!$B$2:$B$501=A66),Registo!$E$2:$E$501))</f>
        <v/>
      </c>
      <c r="U66" s="24"/>
    </row>
    <row r="67" customFormat="false" ht="23.85" hidden="false" customHeight="false" outlineLevel="0" collapsed="false">
      <c r="A67" s="14" t="s">
        <v>195</v>
      </c>
      <c r="B67" s="15" t="s">
        <v>196</v>
      </c>
      <c r="C67" s="14" t="s">
        <v>197</v>
      </c>
      <c r="D67" s="14" t="s">
        <v>104</v>
      </c>
      <c r="E67" s="16"/>
      <c r="F67" s="16"/>
      <c r="G67" s="16"/>
      <c r="H67" s="16"/>
      <c r="I67" s="16" t="n">
        <v>18</v>
      </c>
      <c r="J67" s="17" t="n">
        <f aca="false">IF(AND(A67="",B67=""),"",IF(SUM(E67:H67)&gt;0,SUM(E67:H67),I67))</f>
        <v>18</v>
      </c>
      <c r="K67" s="17" t="n">
        <f aca="false">IF(J67="","",ROUND(IF(SUM(E67:H67)&gt;0,E67*(1+Config!$C$4)+F67*(1+Config!$C$5)+G67*(1+Config!$C$6)+H67*(1+Config!$C$7),I67*(1+Config!$C$8)),2))</f>
        <v>18.36</v>
      </c>
      <c r="L67" s="18"/>
      <c r="M67" s="19" t="n">
        <f aca="false">IF(J67="","",IF(L67="",Config!$C$3,L67))</f>
        <v>0.2</v>
      </c>
      <c r="N67" s="20" t="n">
        <f aca="false">IF(K67="","",ROUND(K67*(1+M67),2))</f>
        <v>22.03</v>
      </c>
      <c r="O67" s="21" t="s">
        <v>70</v>
      </c>
      <c r="P67" s="21"/>
      <c r="Q67" s="22" t="s">
        <v>71</v>
      </c>
      <c r="R67" s="22" t="s">
        <v>16</v>
      </c>
      <c r="S67" s="23" t="n">
        <f aca="false">IF(A67="","",COUNTIF(Registo!$B$2:$B$501,A67))</f>
        <v>0</v>
      </c>
      <c r="T67" s="17" t="str">
        <f aca="false">IF(OR(A67="",S67=0),"",LOOKUP(2,1/(Registo!$B$2:$B$501=A67),Registo!$E$2:$E$501))</f>
        <v/>
      </c>
      <c r="U67" s="24"/>
    </row>
    <row r="68" customFormat="false" ht="23.85" hidden="false" customHeight="false" outlineLevel="0" collapsed="false">
      <c r="A68" s="14" t="s">
        <v>198</v>
      </c>
      <c r="B68" s="15" t="s">
        <v>199</v>
      </c>
      <c r="C68" s="14" t="s">
        <v>197</v>
      </c>
      <c r="D68" s="14" t="s">
        <v>104</v>
      </c>
      <c r="E68" s="16"/>
      <c r="F68" s="16"/>
      <c r="G68" s="16"/>
      <c r="H68" s="16"/>
      <c r="I68" s="16" t="n">
        <v>12</v>
      </c>
      <c r="J68" s="17" t="n">
        <f aca="false">IF(AND(A68="",B68=""),"",IF(SUM(E68:H68)&gt;0,SUM(E68:H68),I68))</f>
        <v>12</v>
      </c>
      <c r="K68" s="17" t="n">
        <f aca="false">IF(J68="","",ROUND(IF(SUM(E68:H68)&gt;0,E68*(1+Config!$C$4)+F68*(1+Config!$C$5)+G68*(1+Config!$C$6)+H68*(1+Config!$C$7),I68*(1+Config!$C$8)),2))</f>
        <v>12.24</v>
      </c>
      <c r="L68" s="18"/>
      <c r="M68" s="19" t="n">
        <f aca="false">IF(J68="","",IF(L68="",Config!$C$3,L68))</f>
        <v>0.2</v>
      </c>
      <c r="N68" s="20" t="n">
        <f aca="false">IF(K68="","",ROUND(K68*(1+M68),2))</f>
        <v>14.69</v>
      </c>
      <c r="O68" s="21" t="s">
        <v>70</v>
      </c>
      <c r="P68" s="21"/>
      <c r="Q68" s="22" t="s">
        <v>71</v>
      </c>
      <c r="R68" s="22" t="s">
        <v>16</v>
      </c>
      <c r="S68" s="23" t="n">
        <f aca="false">IF(A68="","",COUNTIF(Registo!$B$2:$B$501,A68))</f>
        <v>0</v>
      </c>
      <c r="T68" s="17" t="str">
        <f aca="false">IF(OR(A68="",S68=0),"",LOOKUP(2,1/(Registo!$B$2:$B$501=A68),Registo!$E$2:$E$501))</f>
        <v/>
      </c>
      <c r="U68" s="24"/>
    </row>
    <row r="69" customFormat="false" ht="23.85" hidden="false" customHeight="false" outlineLevel="0" collapsed="false">
      <c r="A69" s="14" t="s">
        <v>200</v>
      </c>
      <c r="B69" s="15" t="s">
        <v>201</v>
      </c>
      <c r="C69" s="14" t="s">
        <v>197</v>
      </c>
      <c r="D69" s="14" t="s">
        <v>104</v>
      </c>
      <c r="E69" s="16"/>
      <c r="F69" s="16"/>
      <c r="G69" s="16"/>
      <c r="H69" s="16"/>
      <c r="I69" s="16" t="n">
        <v>14</v>
      </c>
      <c r="J69" s="17" t="n">
        <f aca="false">IF(AND(A69="",B69=""),"",IF(SUM(E69:H69)&gt;0,SUM(E69:H69),I69))</f>
        <v>14</v>
      </c>
      <c r="K69" s="17" t="n">
        <f aca="false">IF(J69="","",ROUND(IF(SUM(E69:H69)&gt;0,E69*(1+Config!$C$4)+F69*(1+Config!$C$5)+G69*(1+Config!$C$6)+H69*(1+Config!$C$7),I69*(1+Config!$C$8)),2))</f>
        <v>14.28</v>
      </c>
      <c r="L69" s="18"/>
      <c r="M69" s="19" t="n">
        <f aca="false">IF(J69="","",IF(L69="",Config!$C$3,L69))</f>
        <v>0.2</v>
      </c>
      <c r="N69" s="20" t="n">
        <f aca="false">IF(K69="","",ROUND(K69*(1+M69),2))</f>
        <v>17.14</v>
      </c>
      <c r="O69" s="21" t="s">
        <v>70</v>
      </c>
      <c r="P69" s="21"/>
      <c r="Q69" s="22" t="s">
        <v>71</v>
      </c>
      <c r="R69" s="22" t="s">
        <v>16</v>
      </c>
      <c r="S69" s="23" t="n">
        <f aca="false">IF(A69="","",COUNTIF(Registo!$B$2:$B$501,A69))</f>
        <v>0</v>
      </c>
      <c r="T69" s="17" t="str">
        <f aca="false">IF(OR(A69="",S69=0),"",LOOKUP(2,1/(Registo!$B$2:$B$501=A69),Registo!$E$2:$E$501))</f>
        <v/>
      </c>
      <c r="U69" s="24"/>
    </row>
    <row r="70" customFormat="false" ht="23.85" hidden="false" customHeight="false" outlineLevel="0" collapsed="false">
      <c r="A70" s="14" t="s">
        <v>202</v>
      </c>
      <c r="B70" s="15" t="s">
        <v>203</v>
      </c>
      <c r="C70" s="14" t="s">
        <v>197</v>
      </c>
      <c r="D70" s="14" t="s">
        <v>104</v>
      </c>
      <c r="E70" s="16"/>
      <c r="F70" s="16"/>
      <c r="G70" s="16"/>
      <c r="H70" s="16"/>
      <c r="I70" s="16" t="n">
        <v>18</v>
      </c>
      <c r="J70" s="17" t="n">
        <f aca="false">IF(AND(A70="",B70=""),"",IF(SUM(E70:H70)&gt;0,SUM(E70:H70),I70))</f>
        <v>18</v>
      </c>
      <c r="K70" s="17" t="n">
        <f aca="false">IF(J70="","",ROUND(IF(SUM(E70:H70)&gt;0,E70*(1+Config!$C$4)+F70*(1+Config!$C$5)+G70*(1+Config!$C$6)+H70*(1+Config!$C$7),I70*(1+Config!$C$8)),2))</f>
        <v>18.36</v>
      </c>
      <c r="L70" s="18"/>
      <c r="M70" s="19" t="n">
        <f aca="false">IF(J70="","",IF(L70="",Config!$C$3,L70))</f>
        <v>0.2</v>
      </c>
      <c r="N70" s="20" t="n">
        <f aca="false">IF(K70="","",ROUND(K70*(1+M70),2))</f>
        <v>22.03</v>
      </c>
      <c r="O70" s="21" t="s">
        <v>70</v>
      </c>
      <c r="P70" s="21"/>
      <c r="Q70" s="22" t="s">
        <v>71</v>
      </c>
      <c r="R70" s="22" t="s">
        <v>16</v>
      </c>
      <c r="S70" s="23" t="n">
        <f aca="false">IF(A70="","",COUNTIF(Registo!$B$2:$B$501,A70))</f>
        <v>0</v>
      </c>
      <c r="T70" s="17" t="str">
        <f aca="false">IF(OR(A70="",S70=0),"",LOOKUP(2,1/(Registo!$B$2:$B$501=A70),Registo!$E$2:$E$501))</f>
        <v/>
      </c>
      <c r="U70" s="24"/>
    </row>
    <row r="71" customFormat="false" ht="23.85" hidden="false" customHeight="false" outlineLevel="0" collapsed="false">
      <c r="A71" s="14" t="s">
        <v>204</v>
      </c>
      <c r="B71" s="15" t="s">
        <v>205</v>
      </c>
      <c r="C71" s="14" t="s">
        <v>197</v>
      </c>
      <c r="D71" s="14" t="s">
        <v>121</v>
      </c>
      <c r="E71" s="16"/>
      <c r="F71" s="16"/>
      <c r="G71" s="16"/>
      <c r="H71" s="16"/>
      <c r="I71" s="16" t="n">
        <v>680</v>
      </c>
      <c r="J71" s="17" t="n">
        <f aca="false">IF(AND(A71="",B71=""),"",IF(SUM(E71:H71)&gt;0,SUM(E71:H71),I71))</f>
        <v>680</v>
      </c>
      <c r="K71" s="17" t="n">
        <f aca="false">IF(J71="","",ROUND(IF(SUM(E71:H71)&gt;0,E71*(1+Config!$C$4)+F71*(1+Config!$C$5)+G71*(1+Config!$C$6)+H71*(1+Config!$C$7),I71*(1+Config!$C$8)),2))</f>
        <v>693.6</v>
      </c>
      <c r="L71" s="18"/>
      <c r="M71" s="19" t="n">
        <f aca="false">IF(J71="","",IF(L71="",Config!$C$3,L71))</f>
        <v>0.2</v>
      </c>
      <c r="N71" s="20" t="n">
        <f aca="false">IF(K71="","",ROUND(K71*(1+M71),2))</f>
        <v>832.32</v>
      </c>
      <c r="O71" s="21" t="s">
        <v>70</v>
      </c>
      <c r="P71" s="21"/>
      <c r="Q71" s="22" t="s">
        <v>71</v>
      </c>
      <c r="R71" s="22" t="s">
        <v>16</v>
      </c>
      <c r="S71" s="23" t="n">
        <f aca="false">IF(A71="","",COUNTIF(Registo!$B$2:$B$501,A71))</f>
        <v>0</v>
      </c>
      <c r="T71" s="17" t="str">
        <f aca="false">IF(OR(A71="",S71=0),"",LOOKUP(2,1/(Registo!$B$2:$B$501=A71),Registo!$E$2:$E$501))</f>
        <v/>
      </c>
      <c r="U71" s="24"/>
    </row>
    <row r="72" customFormat="false" ht="23.85" hidden="false" customHeight="false" outlineLevel="0" collapsed="false">
      <c r="A72" s="14" t="s">
        <v>206</v>
      </c>
      <c r="B72" s="15" t="s">
        <v>207</v>
      </c>
      <c r="C72" s="14" t="s">
        <v>197</v>
      </c>
      <c r="D72" s="14" t="s">
        <v>121</v>
      </c>
      <c r="E72" s="16"/>
      <c r="F72" s="16"/>
      <c r="G72" s="16"/>
      <c r="H72" s="16"/>
      <c r="I72" s="16" t="n">
        <v>850</v>
      </c>
      <c r="J72" s="17" t="n">
        <f aca="false">IF(AND(A72="",B72=""),"",IF(SUM(E72:H72)&gt;0,SUM(E72:H72),I72))</f>
        <v>850</v>
      </c>
      <c r="K72" s="17" t="n">
        <f aca="false">IF(J72="","",ROUND(IF(SUM(E72:H72)&gt;0,E72*(1+Config!$C$4)+F72*(1+Config!$C$5)+G72*(1+Config!$C$6)+H72*(1+Config!$C$7),I72*(1+Config!$C$8)),2))</f>
        <v>867</v>
      </c>
      <c r="L72" s="18"/>
      <c r="M72" s="19" t="n">
        <f aca="false">IF(J72="","",IF(L72="",Config!$C$3,L72))</f>
        <v>0.2</v>
      </c>
      <c r="N72" s="20" t="n">
        <f aca="false">IF(K72="","",ROUND(K72*(1+M72),2))</f>
        <v>1040.4</v>
      </c>
      <c r="O72" s="21" t="s">
        <v>70</v>
      </c>
      <c r="P72" s="21"/>
      <c r="Q72" s="22" t="s">
        <v>71</v>
      </c>
      <c r="R72" s="22" t="s">
        <v>16</v>
      </c>
      <c r="S72" s="23" t="n">
        <f aca="false">IF(A72="","",COUNTIF(Registo!$B$2:$B$501,A72))</f>
        <v>0</v>
      </c>
      <c r="T72" s="17" t="str">
        <f aca="false">IF(OR(A72="",S72=0),"",LOOKUP(2,1/(Registo!$B$2:$B$501=A72),Registo!$E$2:$E$501))</f>
        <v/>
      </c>
      <c r="U72" s="24"/>
    </row>
    <row r="73" customFormat="false" ht="23.85" hidden="false" customHeight="false" outlineLevel="0" collapsed="false">
      <c r="A73" s="14" t="s">
        <v>208</v>
      </c>
      <c r="B73" s="15" t="s">
        <v>209</v>
      </c>
      <c r="C73" s="14" t="s">
        <v>197</v>
      </c>
      <c r="D73" s="14" t="s">
        <v>121</v>
      </c>
      <c r="E73" s="16"/>
      <c r="F73" s="16"/>
      <c r="G73" s="16"/>
      <c r="H73" s="16"/>
      <c r="I73" s="16" t="n">
        <v>180</v>
      </c>
      <c r="J73" s="17" t="n">
        <f aca="false">IF(AND(A73="",B73=""),"",IF(SUM(E73:H73)&gt;0,SUM(E73:H73),I73))</f>
        <v>180</v>
      </c>
      <c r="K73" s="17" t="n">
        <f aca="false">IF(J73="","",ROUND(IF(SUM(E73:H73)&gt;0,E73*(1+Config!$C$4)+F73*(1+Config!$C$5)+G73*(1+Config!$C$6)+H73*(1+Config!$C$7),I73*(1+Config!$C$8)),2))</f>
        <v>183.6</v>
      </c>
      <c r="L73" s="18"/>
      <c r="M73" s="19" t="n">
        <f aca="false">IF(J73="","",IF(L73="",Config!$C$3,L73))</f>
        <v>0.2</v>
      </c>
      <c r="N73" s="20" t="n">
        <f aca="false">IF(K73="","",ROUND(K73*(1+M73),2))</f>
        <v>220.32</v>
      </c>
      <c r="O73" s="21" t="s">
        <v>70</v>
      </c>
      <c r="P73" s="21"/>
      <c r="Q73" s="22" t="s">
        <v>71</v>
      </c>
      <c r="R73" s="22" t="s">
        <v>16</v>
      </c>
      <c r="S73" s="23" t="n">
        <f aca="false">IF(A73="","",COUNTIF(Registo!$B$2:$B$501,A73))</f>
        <v>0</v>
      </c>
      <c r="T73" s="17" t="str">
        <f aca="false">IF(OR(A73="",S73=0),"",LOOKUP(2,1/(Registo!$B$2:$B$501=A73),Registo!$E$2:$E$501))</f>
        <v/>
      </c>
      <c r="U73" s="24"/>
    </row>
    <row r="74" customFormat="false" ht="23.85" hidden="false" customHeight="false" outlineLevel="0" collapsed="false">
      <c r="A74" s="14" t="s">
        <v>210</v>
      </c>
      <c r="B74" s="15" t="s">
        <v>211</v>
      </c>
      <c r="C74" s="14" t="s">
        <v>197</v>
      </c>
      <c r="D74" s="14" t="s">
        <v>121</v>
      </c>
      <c r="E74" s="16"/>
      <c r="F74" s="16"/>
      <c r="G74" s="16"/>
      <c r="H74" s="16"/>
      <c r="I74" s="16" t="n">
        <v>320</v>
      </c>
      <c r="J74" s="17" t="n">
        <f aca="false">IF(AND(A74="",B74=""),"",IF(SUM(E74:H74)&gt;0,SUM(E74:H74),I74))</f>
        <v>320</v>
      </c>
      <c r="K74" s="17" t="n">
        <f aca="false">IF(J74="","",ROUND(IF(SUM(E74:H74)&gt;0,E74*(1+Config!$C$4)+F74*(1+Config!$C$5)+G74*(1+Config!$C$6)+H74*(1+Config!$C$7),I74*(1+Config!$C$8)),2))</f>
        <v>326.4</v>
      </c>
      <c r="L74" s="18"/>
      <c r="M74" s="19" t="n">
        <f aca="false">IF(J74="","",IF(L74="",Config!$C$3,L74))</f>
        <v>0.2</v>
      </c>
      <c r="N74" s="20" t="n">
        <f aca="false">IF(K74="","",ROUND(K74*(1+M74),2))</f>
        <v>391.68</v>
      </c>
      <c r="O74" s="21" t="s">
        <v>70</v>
      </c>
      <c r="P74" s="21"/>
      <c r="Q74" s="22" t="s">
        <v>71</v>
      </c>
      <c r="R74" s="22" t="s">
        <v>16</v>
      </c>
      <c r="S74" s="23" t="n">
        <f aca="false">IF(A74="","",COUNTIF(Registo!$B$2:$B$501,A74))</f>
        <v>0</v>
      </c>
      <c r="T74" s="17" t="str">
        <f aca="false">IF(OR(A74="",S74=0),"",LOOKUP(2,1/(Registo!$B$2:$B$501=A74),Registo!$E$2:$E$501))</f>
        <v/>
      </c>
      <c r="U74" s="24"/>
    </row>
    <row r="75" customFormat="false" ht="23.85" hidden="false" customHeight="false" outlineLevel="0" collapsed="false">
      <c r="A75" s="14" t="s">
        <v>212</v>
      </c>
      <c r="B75" s="15" t="s">
        <v>213</v>
      </c>
      <c r="C75" s="14" t="s">
        <v>197</v>
      </c>
      <c r="D75" s="14" t="s">
        <v>121</v>
      </c>
      <c r="E75" s="16"/>
      <c r="F75" s="16"/>
      <c r="G75" s="16"/>
      <c r="H75" s="16"/>
      <c r="I75" s="16" t="n">
        <v>420</v>
      </c>
      <c r="J75" s="17" t="n">
        <f aca="false">IF(AND(A75="",B75=""),"",IF(SUM(E75:H75)&gt;0,SUM(E75:H75),I75))</f>
        <v>420</v>
      </c>
      <c r="K75" s="17" t="n">
        <f aca="false">IF(J75="","",ROUND(IF(SUM(E75:H75)&gt;0,E75*(1+Config!$C$4)+F75*(1+Config!$C$5)+G75*(1+Config!$C$6)+H75*(1+Config!$C$7),I75*(1+Config!$C$8)),2))</f>
        <v>428.4</v>
      </c>
      <c r="L75" s="18"/>
      <c r="M75" s="19" t="n">
        <f aca="false">IF(J75="","",IF(L75="",Config!$C$3,L75))</f>
        <v>0.2</v>
      </c>
      <c r="N75" s="20" t="n">
        <f aca="false">IF(K75="","",ROUND(K75*(1+M75),2))</f>
        <v>514.08</v>
      </c>
      <c r="O75" s="21" t="s">
        <v>70</v>
      </c>
      <c r="P75" s="21"/>
      <c r="Q75" s="22" t="s">
        <v>71</v>
      </c>
      <c r="R75" s="22" t="s">
        <v>16</v>
      </c>
      <c r="S75" s="23" t="n">
        <f aca="false">IF(A75="","",COUNTIF(Registo!$B$2:$B$501,A75))</f>
        <v>0</v>
      </c>
      <c r="T75" s="17" t="str">
        <f aca="false">IF(OR(A75="",S75=0),"",LOOKUP(2,1/(Registo!$B$2:$B$501=A75),Registo!$E$2:$E$501))</f>
        <v/>
      </c>
      <c r="U75" s="24"/>
    </row>
    <row r="76" customFormat="false" ht="23.85" hidden="false" customHeight="false" outlineLevel="0" collapsed="false">
      <c r="A76" s="14" t="s">
        <v>214</v>
      </c>
      <c r="B76" s="15" t="s">
        <v>215</v>
      </c>
      <c r="C76" s="14" t="s">
        <v>197</v>
      </c>
      <c r="D76" s="14" t="s">
        <v>121</v>
      </c>
      <c r="E76" s="16"/>
      <c r="F76" s="16"/>
      <c r="G76" s="16"/>
      <c r="H76" s="16"/>
      <c r="I76" s="16" t="n">
        <v>950</v>
      </c>
      <c r="J76" s="17" t="n">
        <f aca="false">IF(AND(A76="",B76=""),"",IF(SUM(E76:H76)&gt;0,SUM(E76:H76),I76))</f>
        <v>950</v>
      </c>
      <c r="K76" s="17" t="n">
        <f aca="false">IF(J76="","",ROUND(IF(SUM(E76:H76)&gt;0,E76*(1+Config!$C$4)+F76*(1+Config!$C$5)+G76*(1+Config!$C$6)+H76*(1+Config!$C$7),I76*(1+Config!$C$8)),2))</f>
        <v>969</v>
      </c>
      <c r="L76" s="18"/>
      <c r="M76" s="19" t="n">
        <f aca="false">IF(J76="","",IF(L76="",Config!$C$3,L76))</f>
        <v>0.2</v>
      </c>
      <c r="N76" s="20" t="n">
        <f aca="false">IF(K76="","",ROUND(K76*(1+M76),2))</f>
        <v>1162.8</v>
      </c>
      <c r="O76" s="21" t="s">
        <v>70</v>
      </c>
      <c r="P76" s="21"/>
      <c r="Q76" s="22" t="s">
        <v>71</v>
      </c>
      <c r="R76" s="22" t="s">
        <v>16</v>
      </c>
      <c r="S76" s="23" t="n">
        <f aca="false">IF(A76="","",COUNTIF(Registo!$B$2:$B$501,A76))</f>
        <v>0</v>
      </c>
      <c r="T76" s="17" t="str">
        <f aca="false">IF(OR(A76="",S76=0),"",LOOKUP(2,1/(Registo!$B$2:$B$501=A76),Registo!$E$2:$E$501))</f>
        <v/>
      </c>
      <c r="U76" s="24"/>
    </row>
    <row r="77" customFormat="false" ht="23.85" hidden="false" customHeight="false" outlineLevel="0" collapsed="false">
      <c r="A77" s="14" t="s">
        <v>216</v>
      </c>
      <c r="B77" s="15" t="s">
        <v>217</v>
      </c>
      <c r="C77" s="14" t="s">
        <v>197</v>
      </c>
      <c r="D77" s="14" t="s">
        <v>121</v>
      </c>
      <c r="E77" s="16"/>
      <c r="F77" s="16"/>
      <c r="G77" s="16"/>
      <c r="H77" s="16"/>
      <c r="I77" s="16" t="n">
        <v>1100</v>
      </c>
      <c r="J77" s="17" t="n">
        <f aca="false">IF(AND(A77="",B77=""),"",IF(SUM(E77:H77)&gt;0,SUM(E77:H77),I77))</f>
        <v>1100</v>
      </c>
      <c r="K77" s="17" t="n">
        <f aca="false">IF(J77="","",ROUND(IF(SUM(E77:H77)&gt;0,E77*(1+Config!$C$4)+F77*(1+Config!$C$5)+G77*(1+Config!$C$6)+H77*(1+Config!$C$7),I77*(1+Config!$C$8)),2))</f>
        <v>1122</v>
      </c>
      <c r="L77" s="18"/>
      <c r="M77" s="19" t="n">
        <f aca="false">IF(J77="","",IF(L77="",Config!$C$3,L77))</f>
        <v>0.2</v>
      </c>
      <c r="N77" s="20" t="n">
        <f aca="false">IF(K77="","",ROUND(K77*(1+M77),2))</f>
        <v>1346.4</v>
      </c>
      <c r="O77" s="21" t="s">
        <v>70</v>
      </c>
      <c r="P77" s="21"/>
      <c r="Q77" s="22" t="s">
        <v>71</v>
      </c>
      <c r="R77" s="22" t="s">
        <v>16</v>
      </c>
      <c r="S77" s="23" t="n">
        <f aca="false">IF(A77="","",COUNTIF(Registo!$B$2:$B$501,A77))</f>
        <v>0</v>
      </c>
      <c r="T77" s="17" t="str">
        <f aca="false">IF(OR(A77="",S77=0),"",LOOKUP(2,1/(Registo!$B$2:$B$501=A77),Registo!$E$2:$E$501))</f>
        <v/>
      </c>
      <c r="U77" s="24"/>
    </row>
    <row r="78" customFormat="false" ht="23.85" hidden="false" customHeight="false" outlineLevel="0" collapsed="false">
      <c r="A78" s="14" t="s">
        <v>218</v>
      </c>
      <c r="B78" s="15" t="s">
        <v>219</v>
      </c>
      <c r="C78" s="14" t="s">
        <v>197</v>
      </c>
      <c r="D78" s="14" t="s">
        <v>59</v>
      </c>
      <c r="E78" s="16"/>
      <c r="F78" s="16"/>
      <c r="G78" s="16"/>
      <c r="H78" s="16"/>
      <c r="I78" s="16" t="n">
        <v>200</v>
      </c>
      <c r="J78" s="17" t="n">
        <f aca="false">IF(AND(A78="",B78=""),"",IF(SUM(E78:H78)&gt;0,SUM(E78:H78),I78))</f>
        <v>200</v>
      </c>
      <c r="K78" s="17" t="n">
        <f aca="false">IF(J78="","",ROUND(IF(SUM(E78:H78)&gt;0,E78*(1+Config!$C$4)+F78*(1+Config!$C$5)+G78*(1+Config!$C$6)+H78*(1+Config!$C$7),I78*(1+Config!$C$8)),2))</f>
        <v>204</v>
      </c>
      <c r="L78" s="18"/>
      <c r="M78" s="19" t="n">
        <f aca="false">IF(J78="","",IF(L78="",Config!$C$3,L78))</f>
        <v>0.2</v>
      </c>
      <c r="N78" s="20" t="n">
        <f aca="false">IF(K78="","",ROUND(K78*(1+M78),2))</f>
        <v>244.8</v>
      </c>
      <c r="O78" s="21" t="s">
        <v>60</v>
      </c>
      <c r="P78" s="21" t="s">
        <v>61</v>
      </c>
      <c r="Q78" s="22" t="s">
        <v>62</v>
      </c>
      <c r="R78" s="22" t="s">
        <v>14</v>
      </c>
      <c r="S78" s="23" t="n">
        <f aca="false">IF(A78="","",COUNTIF(Registo!$B$2:$B$501,A78))</f>
        <v>0</v>
      </c>
      <c r="T78" s="17" t="str">
        <f aca="false">IF(OR(A78="",S78=0),"",LOOKUP(2,1/(Registo!$B$2:$B$501=A78),Registo!$E$2:$E$501))</f>
        <v/>
      </c>
      <c r="U78" s="24" t="s">
        <v>63</v>
      </c>
    </row>
    <row r="79" customFormat="false" ht="23.85" hidden="false" customHeight="false" outlineLevel="0" collapsed="false">
      <c r="A79" s="14" t="s">
        <v>220</v>
      </c>
      <c r="B79" s="15" t="s">
        <v>221</v>
      </c>
      <c r="C79" s="14" t="s">
        <v>197</v>
      </c>
      <c r="D79" s="14" t="s">
        <v>121</v>
      </c>
      <c r="E79" s="16"/>
      <c r="F79" s="16"/>
      <c r="G79" s="16"/>
      <c r="H79" s="16"/>
      <c r="I79" s="16" t="n">
        <v>340</v>
      </c>
      <c r="J79" s="17" t="n">
        <f aca="false">IF(AND(A79="",B79=""),"",IF(SUM(E79:H79)&gt;0,SUM(E79:H79),I79))</f>
        <v>340</v>
      </c>
      <c r="K79" s="17" t="n">
        <f aca="false">IF(J79="","",ROUND(IF(SUM(E79:H79)&gt;0,E79*(1+Config!$C$4)+F79*(1+Config!$C$5)+G79*(1+Config!$C$6)+H79*(1+Config!$C$7),I79*(1+Config!$C$8)),2))</f>
        <v>346.8</v>
      </c>
      <c r="L79" s="18"/>
      <c r="M79" s="19" t="n">
        <f aca="false">IF(J79="","",IF(L79="",Config!$C$3,L79))</f>
        <v>0.2</v>
      </c>
      <c r="N79" s="20" t="n">
        <f aca="false">IF(K79="","",ROUND(K79*(1+M79),2))</f>
        <v>416.16</v>
      </c>
      <c r="O79" s="21" t="s">
        <v>60</v>
      </c>
      <c r="P79" s="21" t="s">
        <v>61</v>
      </c>
      <c r="Q79" s="22" t="s">
        <v>62</v>
      </c>
      <c r="R79" s="22" t="s">
        <v>14</v>
      </c>
      <c r="S79" s="23" t="n">
        <f aca="false">IF(A79="","",COUNTIF(Registo!$B$2:$B$501,A79))</f>
        <v>0</v>
      </c>
      <c r="T79" s="17" t="str">
        <f aca="false">IF(OR(A79="",S79=0),"",LOOKUP(2,1/(Registo!$B$2:$B$501=A79),Registo!$E$2:$E$501))</f>
        <v/>
      </c>
      <c r="U79" s="24" t="s">
        <v>63</v>
      </c>
    </row>
    <row r="80" customFormat="false" ht="23.85" hidden="false" customHeight="false" outlineLevel="0" collapsed="false">
      <c r="A80" s="14" t="s">
        <v>222</v>
      </c>
      <c r="B80" s="15" t="s">
        <v>223</v>
      </c>
      <c r="C80" s="14" t="s">
        <v>197</v>
      </c>
      <c r="D80" s="14" t="s">
        <v>121</v>
      </c>
      <c r="E80" s="16"/>
      <c r="F80" s="16"/>
      <c r="G80" s="16"/>
      <c r="H80" s="16"/>
      <c r="I80" s="16" t="n">
        <v>590</v>
      </c>
      <c r="J80" s="17" t="n">
        <f aca="false">IF(AND(A80="",B80=""),"",IF(SUM(E80:H80)&gt;0,SUM(E80:H80),I80))</f>
        <v>590</v>
      </c>
      <c r="K80" s="17" t="n">
        <f aca="false">IF(J80="","",ROUND(IF(SUM(E80:H80)&gt;0,E80*(1+Config!$C$4)+F80*(1+Config!$C$5)+G80*(1+Config!$C$6)+H80*(1+Config!$C$7),I80*(1+Config!$C$8)),2))</f>
        <v>601.8</v>
      </c>
      <c r="L80" s="18"/>
      <c r="M80" s="19" t="n">
        <f aca="false">IF(J80="","",IF(L80="",Config!$C$3,L80))</f>
        <v>0.2</v>
      </c>
      <c r="N80" s="20" t="n">
        <f aca="false">IF(K80="","",ROUND(K80*(1+M80),2))</f>
        <v>722.16</v>
      </c>
      <c r="O80" s="21" t="s">
        <v>60</v>
      </c>
      <c r="P80" s="21" t="s">
        <v>61</v>
      </c>
      <c r="Q80" s="22" t="s">
        <v>62</v>
      </c>
      <c r="R80" s="22" t="s">
        <v>14</v>
      </c>
      <c r="S80" s="23" t="n">
        <f aca="false">IF(A80="","",COUNTIF(Registo!$B$2:$B$501,A80))</f>
        <v>0</v>
      </c>
      <c r="T80" s="17" t="str">
        <f aca="false">IF(OR(A80="",S80=0),"",LOOKUP(2,1/(Registo!$B$2:$B$501=A80),Registo!$E$2:$E$501))</f>
        <v/>
      </c>
      <c r="U80" s="24" t="s">
        <v>63</v>
      </c>
    </row>
    <row r="81" customFormat="false" ht="23.85" hidden="false" customHeight="false" outlineLevel="0" collapsed="false">
      <c r="A81" s="14" t="s">
        <v>224</v>
      </c>
      <c r="B81" s="15" t="s">
        <v>225</v>
      </c>
      <c r="C81" s="14" t="s">
        <v>197</v>
      </c>
      <c r="D81" s="14" t="s">
        <v>121</v>
      </c>
      <c r="E81" s="16"/>
      <c r="F81" s="16"/>
      <c r="G81" s="16"/>
      <c r="H81" s="16"/>
      <c r="I81" s="16" t="n">
        <v>460</v>
      </c>
      <c r="J81" s="17" t="n">
        <f aca="false">IF(AND(A81="",B81=""),"",IF(SUM(E81:H81)&gt;0,SUM(E81:H81),I81))</f>
        <v>460</v>
      </c>
      <c r="K81" s="17" t="n">
        <f aca="false">IF(J81="","",ROUND(IF(SUM(E81:H81)&gt;0,E81*(1+Config!$C$4)+F81*(1+Config!$C$5)+G81*(1+Config!$C$6)+H81*(1+Config!$C$7),I81*(1+Config!$C$8)),2))</f>
        <v>469.2</v>
      </c>
      <c r="L81" s="18"/>
      <c r="M81" s="19" t="n">
        <f aca="false">IF(J81="","",IF(L81="",Config!$C$3,L81))</f>
        <v>0.2</v>
      </c>
      <c r="N81" s="20" t="n">
        <f aca="false">IF(K81="","",ROUND(K81*(1+M81),2))</f>
        <v>563.04</v>
      </c>
      <c r="O81" s="21" t="s">
        <v>60</v>
      </c>
      <c r="P81" s="21" t="s">
        <v>61</v>
      </c>
      <c r="Q81" s="22" t="s">
        <v>62</v>
      </c>
      <c r="R81" s="22" t="s">
        <v>14</v>
      </c>
      <c r="S81" s="23" t="n">
        <f aca="false">IF(A81="","",COUNTIF(Registo!$B$2:$B$501,A81))</f>
        <v>0</v>
      </c>
      <c r="T81" s="17" t="str">
        <f aca="false">IF(OR(A81="",S81=0),"",LOOKUP(2,1/(Registo!$B$2:$B$501=A81),Registo!$E$2:$E$501))</f>
        <v/>
      </c>
      <c r="U81" s="24" t="s">
        <v>63</v>
      </c>
    </row>
    <row r="82" customFormat="false" ht="23.85" hidden="false" customHeight="false" outlineLevel="0" collapsed="false">
      <c r="A82" s="14" t="s">
        <v>226</v>
      </c>
      <c r="B82" s="15" t="s">
        <v>227</v>
      </c>
      <c r="C82" s="14" t="s">
        <v>197</v>
      </c>
      <c r="D82" s="14" t="s">
        <v>121</v>
      </c>
      <c r="E82" s="16"/>
      <c r="F82" s="16"/>
      <c r="G82" s="16"/>
      <c r="H82" s="16"/>
      <c r="I82" s="16" t="n">
        <v>510</v>
      </c>
      <c r="J82" s="17" t="n">
        <f aca="false">IF(AND(A82="",B82=""),"",IF(SUM(E82:H82)&gt;0,SUM(E82:H82),I82))</f>
        <v>510</v>
      </c>
      <c r="K82" s="17" t="n">
        <f aca="false">IF(J82="","",ROUND(IF(SUM(E82:H82)&gt;0,E82*(1+Config!$C$4)+F82*(1+Config!$C$5)+G82*(1+Config!$C$6)+H82*(1+Config!$C$7),I82*(1+Config!$C$8)),2))</f>
        <v>520.2</v>
      </c>
      <c r="L82" s="18"/>
      <c r="M82" s="19" t="n">
        <f aca="false">IF(J82="","",IF(L82="",Config!$C$3,L82))</f>
        <v>0.2</v>
      </c>
      <c r="N82" s="20" t="n">
        <f aca="false">IF(K82="","",ROUND(K82*(1+M82),2))</f>
        <v>624.24</v>
      </c>
      <c r="O82" s="21" t="s">
        <v>60</v>
      </c>
      <c r="P82" s="21" t="s">
        <v>61</v>
      </c>
      <c r="Q82" s="22" t="s">
        <v>62</v>
      </c>
      <c r="R82" s="22" t="s">
        <v>14</v>
      </c>
      <c r="S82" s="23" t="n">
        <f aca="false">IF(A82="","",COUNTIF(Registo!$B$2:$B$501,A82))</f>
        <v>0</v>
      </c>
      <c r="T82" s="17" t="str">
        <f aca="false">IF(OR(A82="",S82=0),"",LOOKUP(2,1/(Registo!$B$2:$B$501=A82),Registo!$E$2:$E$501))</f>
        <v/>
      </c>
      <c r="U82" s="24" t="s">
        <v>63</v>
      </c>
    </row>
    <row r="83" customFormat="false" ht="23.85" hidden="false" customHeight="false" outlineLevel="0" collapsed="false">
      <c r="A83" s="14" t="s">
        <v>228</v>
      </c>
      <c r="B83" s="15" t="s">
        <v>229</v>
      </c>
      <c r="C83" s="14" t="s">
        <v>197</v>
      </c>
      <c r="D83" s="14" t="s">
        <v>121</v>
      </c>
      <c r="E83" s="16"/>
      <c r="F83" s="16"/>
      <c r="G83" s="16"/>
      <c r="H83" s="16"/>
      <c r="I83" s="16" t="n">
        <v>100</v>
      </c>
      <c r="J83" s="17" t="n">
        <f aca="false">IF(AND(A83="",B83=""),"",IF(SUM(E83:H83)&gt;0,SUM(E83:H83),I83))</f>
        <v>100</v>
      </c>
      <c r="K83" s="17" t="n">
        <f aca="false">IF(J83="","",ROUND(IF(SUM(E83:H83)&gt;0,E83*(1+Config!$C$4)+F83*(1+Config!$C$5)+G83*(1+Config!$C$6)+H83*(1+Config!$C$7),I83*(1+Config!$C$8)),2))</f>
        <v>102</v>
      </c>
      <c r="L83" s="18"/>
      <c r="M83" s="19" t="n">
        <f aca="false">IF(J83="","",IF(L83="",Config!$C$3,L83))</f>
        <v>0.2</v>
      </c>
      <c r="N83" s="20" t="n">
        <f aca="false">IF(K83="","",ROUND(K83*(1+M83),2))</f>
        <v>122.4</v>
      </c>
      <c r="O83" s="21" t="s">
        <v>60</v>
      </c>
      <c r="P83" s="21" t="s">
        <v>61</v>
      </c>
      <c r="Q83" s="22" t="s">
        <v>62</v>
      </c>
      <c r="R83" s="22" t="s">
        <v>14</v>
      </c>
      <c r="S83" s="23" t="n">
        <f aca="false">IF(A83="","",COUNTIF(Registo!$B$2:$B$501,A83))</f>
        <v>0</v>
      </c>
      <c r="T83" s="17" t="str">
        <f aca="false">IF(OR(A83="",S83=0),"",LOOKUP(2,1/(Registo!$B$2:$B$501=A83),Registo!$E$2:$E$501))</f>
        <v/>
      </c>
      <c r="U83" s="24" t="s">
        <v>63</v>
      </c>
    </row>
    <row r="84" customFormat="false" ht="23.85" hidden="false" customHeight="false" outlineLevel="0" collapsed="false">
      <c r="A84" s="14" t="s">
        <v>230</v>
      </c>
      <c r="B84" s="15" t="s">
        <v>231</v>
      </c>
      <c r="C84" s="14" t="s">
        <v>197</v>
      </c>
      <c r="D84" s="14" t="s">
        <v>121</v>
      </c>
      <c r="E84" s="16"/>
      <c r="F84" s="16"/>
      <c r="G84" s="16"/>
      <c r="H84" s="16"/>
      <c r="I84" s="16" t="n">
        <v>120</v>
      </c>
      <c r="J84" s="17" t="n">
        <f aca="false">IF(AND(A84="",B84=""),"",IF(SUM(E84:H84)&gt;0,SUM(E84:H84),I84))</f>
        <v>120</v>
      </c>
      <c r="K84" s="17" t="n">
        <f aca="false">IF(J84="","",ROUND(IF(SUM(E84:H84)&gt;0,E84*(1+Config!$C$4)+F84*(1+Config!$C$5)+G84*(1+Config!$C$6)+H84*(1+Config!$C$7),I84*(1+Config!$C$8)),2))</f>
        <v>122.4</v>
      </c>
      <c r="L84" s="18"/>
      <c r="M84" s="19" t="n">
        <f aca="false">IF(J84="","",IF(L84="",Config!$C$3,L84))</f>
        <v>0.2</v>
      </c>
      <c r="N84" s="20" t="n">
        <f aca="false">IF(K84="","",ROUND(K84*(1+M84),2))</f>
        <v>146.88</v>
      </c>
      <c r="O84" s="21" t="s">
        <v>60</v>
      </c>
      <c r="P84" s="21" t="s">
        <v>61</v>
      </c>
      <c r="Q84" s="22" t="s">
        <v>62</v>
      </c>
      <c r="R84" s="22" t="s">
        <v>14</v>
      </c>
      <c r="S84" s="23" t="n">
        <f aca="false">IF(A84="","",COUNTIF(Registo!$B$2:$B$501,A84))</f>
        <v>0</v>
      </c>
      <c r="T84" s="17" t="str">
        <f aca="false">IF(OR(A84="",S84=0),"",LOOKUP(2,1/(Registo!$B$2:$B$501=A84),Registo!$E$2:$E$501))</f>
        <v/>
      </c>
      <c r="U84" s="24" t="s">
        <v>63</v>
      </c>
    </row>
    <row r="85" customFormat="false" ht="23.85" hidden="false" customHeight="false" outlineLevel="0" collapsed="false">
      <c r="A85" s="14" t="s">
        <v>232</v>
      </c>
      <c r="B85" s="15" t="s">
        <v>233</v>
      </c>
      <c r="C85" s="14" t="s">
        <v>197</v>
      </c>
      <c r="D85" s="14" t="s">
        <v>59</v>
      </c>
      <c r="E85" s="16"/>
      <c r="F85" s="16"/>
      <c r="G85" s="16"/>
      <c r="H85" s="16"/>
      <c r="I85" s="16" t="n">
        <v>1850</v>
      </c>
      <c r="J85" s="17" t="n">
        <f aca="false">IF(AND(A85="",B85=""),"",IF(SUM(E85:H85)&gt;0,SUM(E85:H85),I85))</f>
        <v>1850</v>
      </c>
      <c r="K85" s="17" t="n">
        <f aca="false">IF(J85="","",ROUND(IF(SUM(E85:H85)&gt;0,E85*(1+Config!$C$4)+F85*(1+Config!$C$5)+G85*(1+Config!$C$6)+H85*(1+Config!$C$7),I85*(1+Config!$C$8)),2))</f>
        <v>1887</v>
      </c>
      <c r="L85" s="18"/>
      <c r="M85" s="19" t="n">
        <f aca="false">IF(J85="","",IF(L85="",Config!$C$3,L85))</f>
        <v>0.2</v>
      </c>
      <c r="N85" s="20" t="n">
        <f aca="false">IF(K85="","",ROUND(K85*(1+M85),2))</f>
        <v>2264.4</v>
      </c>
      <c r="O85" s="21" t="s">
        <v>60</v>
      </c>
      <c r="P85" s="21" t="s">
        <v>61</v>
      </c>
      <c r="Q85" s="22" t="s">
        <v>62</v>
      </c>
      <c r="R85" s="22" t="s">
        <v>14</v>
      </c>
      <c r="S85" s="23" t="n">
        <f aca="false">IF(A85="","",COUNTIF(Registo!$B$2:$B$501,A85))</f>
        <v>0</v>
      </c>
      <c r="T85" s="17" t="str">
        <f aca="false">IF(OR(A85="",S85=0),"",LOOKUP(2,1/(Registo!$B$2:$B$501=A85),Registo!$E$2:$E$501))</f>
        <v/>
      </c>
      <c r="U85" s="24" t="s">
        <v>63</v>
      </c>
    </row>
    <row r="86" customFormat="false" ht="23.85" hidden="false" customHeight="false" outlineLevel="0" collapsed="false">
      <c r="A86" s="14" t="s">
        <v>234</v>
      </c>
      <c r="B86" s="15" t="s">
        <v>235</v>
      </c>
      <c r="C86" s="14" t="s">
        <v>197</v>
      </c>
      <c r="D86" s="14" t="s">
        <v>59</v>
      </c>
      <c r="E86" s="16"/>
      <c r="F86" s="16"/>
      <c r="G86" s="16"/>
      <c r="H86" s="16"/>
      <c r="I86" s="16" t="n">
        <v>380</v>
      </c>
      <c r="J86" s="17" t="n">
        <f aca="false">IF(AND(A86="",B86=""),"",IF(SUM(E86:H86)&gt;0,SUM(E86:H86),I86))</f>
        <v>380</v>
      </c>
      <c r="K86" s="17" t="n">
        <f aca="false">IF(J86="","",ROUND(IF(SUM(E86:H86)&gt;0,E86*(1+Config!$C$4)+F86*(1+Config!$C$5)+G86*(1+Config!$C$6)+H86*(1+Config!$C$7),I86*(1+Config!$C$8)),2))</f>
        <v>387.6</v>
      </c>
      <c r="L86" s="18"/>
      <c r="M86" s="19" t="n">
        <f aca="false">IF(J86="","",IF(L86="",Config!$C$3,L86))</f>
        <v>0.2</v>
      </c>
      <c r="N86" s="20" t="n">
        <f aca="false">IF(K86="","",ROUND(K86*(1+M86),2))</f>
        <v>465.12</v>
      </c>
      <c r="O86" s="21" t="s">
        <v>60</v>
      </c>
      <c r="P86" s="21" t="s">
        <v>61</v>
      </c>
      <c r="Q86" s="22" t="s">
        <v>62</v>
      </c>
      <c r="R86" s="22" t="s">
        <v>14</v>
      </c>
      <c r="S86" s="23" t="n">
        <f aca="false">IF(A86="","",COUNTIF(Registo!$B$2:$B$501,A86))</f>
        <v>0</v>
      </c>
      <c r="T86" s="17" t="str">
        <f aca="false">IF(OR(A86="",S86=0),"",LOOKUP(2,1/(Registo!$B$2:$B$501=A86),Registo!$E$2:$E$501))</f>
        <v/>
      </c>
      <c r="U86" s="24" t="s">
        <v>63</v>
      </c>
    </row>
    <row r="87" customFormat="false" ht="23.85" hidden="false" customHeight="false" outlineLevel="0" collapsed="false">
      <c r="A87" s="14" t="s">
        <v>236</v>
      </c>
      <c r="B87" s="15" t="s">
        <v>237</v>
      </c>
      <c r="C87" s="14" t="s">
        <v>197</v>
      </c>
      <c r="D87" s="14" t="s">
        <v>59</v>
      </c>
      <c r="E87" s="16"/>
      <c r="F87" s="16"/>
      <c r="G87" s="16"/>
      <c r="H87" s="16"/>
      <c r="I87" s="16" t="n">
        <v>200</v>
      </c>
      <c r="J87" s="17" t="n">
        <f aca="false">IF(AND(A87="",B87=""),"",IF(SUM(E87:H87)&gt;0,SUM(E87:H87),I87))</f>
        <v>200</v>
      </c>
      <c r="K87" s="17" t="n">
        <f aca="false">IF(J87="","",ROUND(IF(SUM(E87:H87)&gt;0,E87*(1+Config!$C$4)+F87*(1+Config!$C$5)+G87*(1+Config!$C$6)+H87*(1+Config!$C$7),I87*(1+Config!$C$8)),2))</f>
        <v>204</v>
      </c>
      <c r="L87" s="18"/>
      <c r="M87" s="19" t="n">
        <f aca="false">IF(J87="","",IF(L87="",Config!$C$3,L87))</f>
        <v>0.2</v>
      </c>
      <c r="N87" s="20" t="n">
        <f aca="false">IF(K87="","",ROUND(K87*(1+M87),2))</f>
        <v>244.8</v>
      </c>
      <c r="O87" s="21" t="s">
        <v>60</v>
      </c>
      <c r="P87" s="21" t="s">
        <v>61</v>
      </c>
      <c r="Q87" s="22" t="s">
        <v>62</v>
      </c>
      <c r="R87" s="22" t="s">
        <v>14</v>
      </c>
      <c r="S87" s="23" t="n">
        <f aca="false">IF(A87="","",COUNTIF(Registo!$B$2:$B$501,A87))</f>
        <v>0</v>
      </c>
      <c r="T87" s="17" t="str">
        <f aca="false">IF(OR(A87="",S87=0),"",LOOKUP(2,1/(Registo!$B$2:$B$501=A87),Registo!$E$2:$E$501))</f>
        <v/>
      </c>
      <c r="U87" s="24" t="s">
        <v>63</v>
      </c>
    </row>
    <row r="88" customFormat="false" ht="23.85" hidden="false" customHeight="false" outlineLevel="0" collapsed="false">
      <c r="A88" s="14" t="s">
        <v>238</v>
      </c>
      <c r="B88" s="15" t="s">
        <v>239</v>
      </c>
      <c r="C88" s="14" t="s">
        <v>240</v>
      </c>
      <c r="D88" s="14" t="s">
        <v>59</v>
      </c>
      <c r="E88" s="16"/>
      <c r="F88" s="16"/>
      <c r="G88" s="16"/>
      <c r="H88" s="16"/>
      <c r="I88" s="16" t="n">
        <v>1250</v>
      </c>
      <c r="J88" s="17" t="n">
        <f aca="false">IF(AND(A88="",B88=""),"",IF(SUM(E88:H88)&gt;0,SUM(E88:H88),I88))</f>
        <v>1250</v>
      </c>
      <c r="K88" s="17" t="n">
        <f aca="false">IF(J88="","",ROUND(IF(SUM(E88:H88)&gt;0,E88*(1+Config!$C$4)+F88*(1+Config!$C$5)+G88*(1+Config!$C$6)+H88*(1+Config!$C$7),I88*(1+Config!$C$8)),2))</f>
        <v>1275</v>
      </c>
      <c r="L88" s="18"/>
      <c r="M88" s="19" t="n">
        <f aca="false">IF(J88="","",IF(L88="",Config!$C$3,L88))</f>
        <v>0.2</v>
      </c>
      <c r="N88" s="20" t="n">
        <f aca="false">IF(K88="","",ROUND(K88*(1+M88),2))</f>
        <v>1530</v>
      </c>
      <c r="O88" s="21" t="s">
        <v>60</v>
      </c>
      <c r="P88" s="21" t="s">
        <v>61</v>
      </c>
      <c r="Q88" s="22" t="s">
        <v>62</v>
      </c>
      <c r="R88" s="22" t="s">
        <v>14</v>
      </c>
      <c r="S88" s="23" t="n">
        <f aca="false">IF(A88="","",COUNTIF(Registo!$B$2:$B$501,A88))</f>
        <v>0</v>
      </c>
      <c r="T88" s="17" t="str">
        <f aca="false">IF(OR(A88="",S88=0),"",LOOKUP(2,1/(Registo!$B$2:$B$501=A88),Registo!$E$2:$E$501))</f>
        <v/>
      </c>
      <c r="U88" s="24" t="s">
        <v>63</v>
      </c>
    </row>
    <row r="89" customFormat="false" ht="23.85" hidden="false" customHeight="false" outlineLevel="0" collapsed="false">
      <c r="A89" s="14" t="s">
        <v>241</v>
      </c>
      <c r="B89" s="15" t="s">
        <v>242</v>
      </c>
      <c r="C89" s="14" t="s">
        <v>240</v>
      </c>
      <c r="D89" s="14" t="s">
        <v>104</v>
      </c>
      <c r="E89" s="16"/>
      <c r="F89" s="16"/>
      <c r="G89" s="16"/>
      <c r="H89" s="16"/>
      <c r="I89" s="16" t="n">
        <v>22</v>
      </c>
      <c r="J89" s="17" t="n">
        <f aca="false">IF(AND(A89="",B89=""),"",IF(SUM(E89:H89)&gt;0,SUM(E89:H89),I89))</f>
        <v>22</v>
      </c>
      <c r="K89" s="17" t="n">
        <f aca="false">IF(J89="","",ROUND(IF(SUM(E89:H89)&gt;0,E89*(1+Config!$C$4)+F89*(1+Config!$C$5)+G89*(1+Config!$C$6)+H89*(1+Config!$C$7),I89*(1+Config!$C$8)),2))</f>
        <v>22.44</v>
      </c>
      <c r="L89" s="18"/>
      <c r="M89" s="19" t="n">
        <f aca="false">IF(J89="","",IF(L89="",Config!$C$3,L89))</f>
        <v>0.2</v>
      </c>
      <c r="N89" s="20" t="n">
        <f aca="false">IF(K89="","",ROUND(K89*(1+M89),2))</f>
        <v>26.93</v>
      </c>
      <c r="O89" s="21" t="s">
        <v>70</v>
      </c>
      <c r="P89" s="21"/>
      <c r="Q89" s="22" t="s">
        <v>71</v>
      </c>
      <c r="R89" s="22" t="s">
        <v>16</v>
      </c>
      <c r="S89" s="23" t="n">
        <f aca="false">IF(A89="","",COUNTIF(Registo!$B$2:$B$501,A89))</f>
        <v>0</v>
      </c>
      <c r="T89" s="17" t="str">
        <f aca="false">IF(OR(A89="",S89=0),"",LOOKUP(2,1/(Registo!$B$2:$B$501=A89),Registo!$E$2:$E$501))</f>
        <v/>
      </c>
      <c r="U89" s="24" t="s">
        <v>243</v>
      </c>
    </row>
    <row r="90" customFormat="false" ht="23.85" hidden="false" customHeight="false" outlineLevel="0" collapsed="false">
      <c r="A90" s="14" t="s">
        <v>244</v>
      </c>
      <c r="B90" s="15" t="s">
        <v>245</v>
      </c>
      <c r="C90" s="14" t="s">
        <v>240</v>
      </c>
      <c r="D90" s="14" t="s">
        <v>104</v>
      </c>
      <c r="E90" s="16"/>
      <c r="F90" s="16"/>
      <c r="G90" s="16"/>
      <c r="H90" s="16"/>
      <c r="I90" s="16" t="n">
        <v>14</v>
      </c>
      <c r="J90" s="17" t="n">
        <f aca="false">IF(AND(A90="",B90=""),"",IF(SUM(E90:H90)&gt;0,SUM(E90:H90),I90))</f>
        <v>14</v>
      </c>
      <c r="K90" s="17" t="n">
        <f aca="false">IF(J90="","",ROUND(IF(SUM(E90:H90)&gt;0,E90*(1+Config!$C$4)+F90*(1+Config!$C$5)+G90*(1+Config!$C$6)+H90*(1+Config!$C$7),I90*(1+Config!$C$8)),2))</f>
        <v>14.28</v>
      </c>
      <c r="L90" s="18"/>
      <c r="M90" s="19" t="n">
        <f aca="false">IF(J90="","",IF(L90="",Config!$C$3,L90))</f>
        <v>0.2</v>
      </c>
      <c r="N90" s="20" t="n">
        <f aca="false">IF(K90="","",ROUND(K90*(1+M90),2))</f>
        <v>17.14</v>
      </c>
      <c r="O90" s="21" t="s">
        <v>70</v>
      </c>
      <c r="P90" s="21"/>
      <c r="Q90" s="22" t="s">
        <v>71</v>
      </c>
      <c r="R90" s="22" t="s">
        <v>16</v>
      </c>
      <c r="S90" s="23" t="n">
        <f aca="false">IF(A90="","",COUNTIF(Registo!$B$2:$B$501,A90))</f>
        <v>0</v>
      </c>
      <c r="T90" s="17" t="str">
        <f aca="false">IF(OR(A90="",S90=0),"",LOOKUP(2,1/(Registo!$B$2:$B$501=A90),Registo!$E$2:$E$501))</f>
        <v/>
      </c>
      <c r="U90" s="24" t="s">
        <v>243</v>
      </c>
    </row>
    <row r="91" customFormat="false" ht="23.85" hidden="false" customHeight="false" outlineLevel="0" collapsed="false">
      <c r="A91" s="14" t="s">
        <v>246</v>
      </c>
      <c r="B91" s="15" t="s">
        <v>247</v>
      </c>
      <c r="C91" s="14" t="s">
        <v>240</v>
      </c>
      <c r="D91" s="14" t="s">
        <v>104</v>
      </c>
      <c r="E91" s="16"/>
      <c r="F91" s="16"/>
      <c r="G91" s="16"/>
      <c r="H91" s="16"/>
      <c r="I91" s="16" t="n">
        <v>18</v>
      </c>
      <c r="J91" s="17" t="n">
        <f aca="false">IF(AND(A91="",B91=""),"",IF(SUM(E91:H91)&gt;0,SUM(E91:H91),I91))</f>
        <v>18</v>
      </c>
      <c r="K91" s="17" t="n">
        <f aca="false">IF(J91="","",ROUND(IF(SUM(E91:H91)&gt;0,E91*(1+Config!$C$4)+F91*(1+Config!$C$5)+G91*(1+Config!$C$6)+H91*(1+Config!$C$7),I91*(1+Config!$C$8)),2))</f>
        <v>18.36</v>
      </c>
      <c r="L91" s="18"/>
      <c r="M91" s="19" t="n">
        <f aca="false">IF(J91="","",IF(L91="",Config!$C$3,L91))</f>
        <v>0.2</v>
      </c>
      <c r="N91" s="20" t="n">
        <f aca="false">IF(K91="","",ROUND(K91*(1+M91),2))</f>
        <v>22.03</v>
      </c>
      <c r="O91" s="21" t="s">
        <v>70</v>
      </c>
      <c r="P91" s="21"/>
      <c r="Q91" s="22" t="s">
        <v>71</v>
      </c>
      <c r="R91" s="22" t="s">
        <v>16</v>
      </c>
      <c r="S91" s="23" t="n">
        <f aca="false">IF(A91="","",COUNTIF(Registo!$B$2:$B$501,A91))</f>
        <v>0</v>
      </c>
      <c r="T91" s="17" t="str">
        <f aca="false">IF(OR(A91="",S91=0),"",LOOKUP(2,1/(Registo!$B$2:$B$501=A91),Registo!$E$2:$E$501))</f>
        <v/>
      </c>
      <c r="U91" s="24" t="s">
        <v>243</v>
      </c>
    </row>
    <row r="92" customFormat="false" ht="23.85" hidden="false" customHeight="false" outlineLevel="0" collapsed="false">
      <c r="A92" s="14" t="s">
        <v>248</v>
      </c>
      <c r="B92" s="15" t="s">
        <v>249</v>
      </c>
      <c r="C92" s="14" t="s">
        <v>240</v>
      </c>
      <c r="D92" s="14" t="s">
        <v>121</v>
      </c>
      <c r="E92" s="16"/>
      <c r="F92" s="16"/>
      <c r="G92" s="16"/>
      <c r="H92" s="16"/>
      <c r="I92" s="16" t="n">
        <v>320</v>
      </c>
      <c r="J92" s="17" t="n">
        <f aca="false">IF(AND(A92="",B92=""),"",IF(SUM(E92:H92)&gt;0,SUM(E92:H92),I92))</f>
        <v>320</v>
      </c>
      <c r="K92" s="17" t="n">
        <f aca="false">IF(J92="","",ROUND(IF(SUM(E92:H92)&gt;0,E92*(1+Config!$C$4)+F92*(1+Config!$C$5)+G92*(1+Config!$C$6)+H92*(1+Config!$C$7),I92*(1+Config!$C$8)),2))</f>
        <v>326.4</v>
      </c>
      <c r="L92" s="18"/>
      <c r="M92" s="19" t="n">
        <f aca="false">IF(J92="","",IF(L92="",Config!$C$3,L92))</f>
        <v>0.2</v>
      </c>
      <c r="N92" s="20" t="n">
        <f aca="false">IF(K92="","",ROUND(K92*(1+M92),2))</f>
        <v>391.68</v>
      </c>
      <c r="O92" s="21" t="s">
        <v>70</v>
      </c>
      <c r="P92" s="21"/>
      <c r="Q92" s="22" t="s">
        <v>71</v>
      </c>
      <c r="R92" s="22" t="s">
        <v>16</v>
      </c>
      <c r="S92" s="23" t="n">
        <f aca="false">IF(A92="","",COUNTIF(Registo!$B$2:$B$501,A92))</f>
        <v>0</v>
      </c>
      <c r="T92" s="17" t="str">
        <f aca="false">IF(OR(A92="",S92=0),"",LOOKUP(2,1/(Registo!$B$2:$B$501=A92),Registo!$E$2:$E$501))</f>
        <v/>
      </c>
      <c r="U92" s="24" t="s">
        <v>243</v>
      </c>
    </row>
    <row r="93" customFormat="false" ht="23.85" hidden="false" customHeight="false" outlineLevel="0" collapsed="false">
      <c r="A93" s="14" t="s">
        <v>250</v>
      </c>
      <c r="B93" s="15" t="s">
        <v>251</v>
      </c>
      <c r="C93" s="14" t="s">
        <v>252</v>
      </c>
      <c r="D93" s="14" t="s">
        <v>121</v>
      </c>
      <c r="E93" s="16"/>
      <c r="F93" s="16"/>
      <c r="G93" s="16"/>
      <c r="H93" s="16"/>
      <c r="I93" s="16" t="n">
        <v>850</v>
      </c>
      <c r="J93" s="17" t="n">
        <f aca="false">IF(AND(A93="",B93=""),"",IF(SUM(E93:H93)&gt;0,SUM(E93:H93),I93))</f>
        <v>850</v>
      </c>
      <c r="K93" s="17" t="n">
        <f aca="false">IF(J93="","",ROUND(IF(SUM(E93:H93)&gt;0,E93*(1+Config!$C$4)+F93*(1+Config!$C$5)+G93*(1+Config!$C$6)+H93*(1+Config!$C$7),I93*(1+Config!$C$8)),2))</f>
        <v>867</v>
      </c>
      <c r="L93" s="18"/>
      <c r="M93" s="19" t="n">
        <f aca="false">IF(J93="","",IF(L93="",Config!$C$3,L93))</f>
        <v>0.2</v>
      </c>
      <c r="N93" s="20" t="n">
        <f aca="false">IF(K93="","",ROUND(K93*(1+M93),2))</f>
        <v>1040.4</v>
      </c>
      <c r="O93" s="21" t="s">
        <v>70</v>
      </c>
      <c r="P93" s="21"/>
      <c r="Q93" s="22" t="s">
        <v>71</v>
      </c>
      <c r="R93" s="22" t="s">
        <v>16</v>
      </c>
      <c r="S93" s="23" t="n">
        <f aca="false">IF(A93="","",COUNTIF(Registo!$B$2:$B$501,A93))</f>
        <v>0</v>
      </c>
      <c r="T93" s="17" t="str">
        <f aca="false">IF(OR(A93="",S93=0),"",LOOKUP(2,1/(Registo!$B$2:$B$501=A93),Registo!$E$2:$E$501))</f>
        <v/>
      </c>
      <c r="U93" s="24"/>
    </row>
    <row r="94" customFormat="false" ht="23.85" hidden="false" customHeight="false" outlineLevel="0" collapsed="false">
      <c r="A94" s="14" t="s">
        <v>253</v>
      </c>
      <c r="B94" s="15" t="s">
        <v>254</v>
      </c>
      <c r="C94" s="14" t="s">
        <v>252</v>
      </c>
      <c r="D94" s="14" t="s">
        <v>121</v>
      </c>
      <c r="E94" s="16"/>
      <c r="F94" s="16"/>
      <c r="G94" s="16"/>
      <c r="H94" s="16"/>
      <c r="I94" s="16" t="n">
        <v>680</v>
      </c>
      <c r="J94" s="17" t="n">
        <f aca="false">IF(AND(A94="",B94=""),"",IF(SUM(E94:H94)&gt;0,SUM(E94:H94),I94))</f>
        <v>680</v>
      </c>
      <c r="K94" s="17" t="n">
        <f aca="false">IF(J94="","",ROUND(IF(SUM(E94:H94)&gt;0,E94*(1+Config!$C$4)+F94*(1+Config!$C$5)+G94*(1+Config!$C$6)+H94*(1+Config!$C$7),I94*(1+Config!$C$8)),2))</f>
        <v>693.6</v>
      </c>
      <c r="L94" s="18"/>
      <c r="M94" s="19" t="n">
        <f aca="false">IF(J94="","",IF(L94="",Config!$C$3,L94))</f>
        <v>0.2</v>
      </c>
      <c r="N94" s="20" t="n">
        <f aca="false">IF(K94="","",ROUND(K94*(1+M94),2))</f>
        <v>832.32</v>
      </c>
      <c r="O94" s="21" t="s">
        <v>70</v>
      </c>
      <c r="P94" s="21"/>
      <c r="Q94" s="22" t="s">
        <v>71</v>
      </c>
      <c r="R94" s="22" t="s">
        <v>16</v>
      </c>
      <c r="S94" s="23" t="n">
        <f aca="false">IF(A94="","",COUNTIF(Registo!$B$2:$B$501,A94))</f>
        <v>0</v>
      </c>
      <c r="T94" s="17" t="str">
        <f aca="false">IF(OR(A94="",S94=0),"",LOOKUP(2,1/(Registo!$B$2:$B$501=A94),Registo!$E$2:$E$501))</f>
        <v/>
      </c>
      <c r="U94" s="24"/>
    </row>
    <row r="95" customFormat="false" ht="23.85" hidden="false" customHeight="false" outlineLevel="0" collapsed="false">
      <c r="A95" s="14" t="s">
        <v>255</v>
      </c>
      <c r="B95" s="15" t="s">
        <v>256</v>
      </c>
      <c r="C95" s="14" t="s">
        <v>252</v>
      </c>
      <c r="D95" s="14" t="s">
        <v>121</v>
      </c>
      <c r="E95" s="16"/>
      <c r="F95" s="16"/>
      <c r="G95" s="16"/>
      <c r="H95" s="16"/>
      <c r="I95" s="16" t="n">
        <v>920</v>
      </c>
      <c r="J95" s="17" t="n">
        <f aca="false">IF(AND(A95="",B95=""),"",IF(SUM(E95:H95)&gt;0,SUM(E95:H95),I95))</f>
        <v>920</v>
      </c>
      <c r="K95" s="17" t="n">
        <f aca="false">IF(J95="","",ROUND(IF(SUM(E95:H95)&gt;0,E95*(1+Config!$C$4)+F95*(1+Config!$C$5)+G95*(1+Config!$C$6)+H95*(1+Config!$C$7),I95*(1+Config!$C$8)),2))</f>
        <v>938.4</v>
      </c>
      <c r="L95" s="18"/>
      <c r="M95" s="19" t="n">
        <f aca="false">IF(J95="","",IF(L95="",Config!$C$3,L95))</f>
        <v>0.2</v>
      </c>
      <c r="N95" s="20" t="n">
        <f aca="false">IF(K95="","",ROUND(K95*(1+M95),2))</f>
        <v>1126.08</v>
      </c>
      <c r="O95" s="21" t="s">
        <v>70</v>
      </c>
      <c r="P95" s="21"/>
      <c r="Q95" s="22" t="s">
        <v>71</v>
      </c>
      <c r="R95" s="22" t="s">
        <v>16</v>
      </c>
      <c r="S95" s="23" t="n">
        <f aca="false">IF(A95="","",COUNTIF(Registo!$B$2:$B$501,A95))</f>
        <v>0</v>
      </c>
      <c r="T95" s="17" t="str">
        <f aca="false">IF(OR(A95="",S95=0),"",LOOKUP(2,1/(Registo!$B$2:$B$501=A95),Registo!$E$2:$E$501))</f>
        <v/>
      </c>
      <c r="U95" s="24"/>
    </row>
    <row r="96" customFormat="false" ht="23.85" hidden="false" customHeight="false" outlineLevel="0" collapsed="false">
      <c r="A96" s="14" t="s">
        <v>257</v>
      </c>
      <c r="B96" s="15" t="s">
        <v>258</v>
      </c>
      <c r="C96" s="14" t="s">
        <v>252</v>
      </c>
      <c r="D96" s="14" t="s">
        <v>104</v>
      </c>
      <c r="E96" s="16"/>
      <c r="F96" s="16"/>
      <c r="G96" s="16"/>
      <c r="H96" s="16"/>
      <c r="I96" s="16" t="n">
        <v>8.5</v>
      </c>
      <c r="J96" s="17" t="n">
        <f aca="false">IF(AND(A96="",B96=""),"",IF(SUM(E96:H96)&gt;0,SUM(E96:H96),I96))</f>
        <v>8.5</v>
      </c>
      <c r="K96" s="17" t="n">
        <f aca="false">IF(J96="","",ROUND(IF(SUM(E96:H96)&gt;0,E96*(1+Config!$C$4)+F96*(1+Config!$C$5)+G96*(1+Config!$C$6)+H96*(1+Config!$C$7),I96*(1+Config!$C$8)),2))</f>
        <v>8.67</v>
      </c>
      <c r="L96" s="18"/>
      <c r="M96" s="19" t="n">
        <f aca="false">IF(J96="","",IF(L96="",Config!$C$3,L96))</f>
        <v>0.2</v>
      </c>
      <c r="N96" s="20" t="n">
        <f aca="false">IF(K96="","",ROUND(K96*(1+M96),2))</f>
        <v>10.4</v>
      </c>
      <c r="O96" s="21" t="s">
        <v>70</v>
      </c>
      <c r="P96" s="21"/>
      <c r="Q96" s="22" t="s">
        <v>71</v>
      </c>
      <c r="R96" s="22" t="s">
        <v>16</v>
      </c>
      <c r="S96" s="23" t="n">
        <f aca="false">IF(A96="","",COUNTIF(Registo!$B$2:$B$501,A96))</f>
        <v>0</v>
      </c>
      <c r="T96" s="17" t="str">
        <f aca="false">IF(OR(A96="",S96=0),"",LOOKUP(2,1/(Registo!$B$2:$B$501=A96),Registo!$E$2:$E$501))</f>
        <v/>
      </c>
      <c r="U96" s="24"/>
    </row>
    <row r="97" customFormat="false" ht="23.85" hidden="false" customHeight="false" outlineLevel="0" collapsed="false">
      <c r="A97" s="14" t="s">
        <v>259</v>
      </c>
      <c r="B97" s="15" t="s">
        <v>260</v>
      </c>
      <c r="C97" s="14" t="s">
        <v>252</v>
      </c>
      <c r="D97" s="14" t="s">
        <v>104</v>
      </c>
      <c r="E97" s="16"/>
      <c r="F97" s="16"/>
      <c r="G97" s="16"/>
      <c r="H97" s="16"/>
      <c r="I97" s="16" t="n">
        <v>9.5</v>
      </c>
      <c r="J97" s="17" t="n">
        <f aca="false">IF(AND(A97="",B97=""),"",IF(SUM(E97:H97)&gt;0,SUM(E97:H97),I97))</f>
        <v>9.5</v>
      </c>
      <c r="K97" s="17" t="n">
        <f aca="false">IF(J97="","",ROUND(IF(SUM(E97:H97)&gt;0,E97*(1+Config!$C$4)+F97*(1+Config!$C$5)+G97*(1+Config!$C$6)+H97*(1+Config!$C$7),I97*(1+Config!$C$8)),2))</f>
        <v>9.69</v>
      </c>
      <c r="L97" s="18"/>
      <c r="M97" s="19" t="n">
        <f aca="false">IF(J97="","",IF(L97="",Config!$C$3,L97))</f>
        <v>0.2</v>
      </c>
      <c r="N97" s="20" t="n">
        <f aca="false">IF(K97="","",ROUND(K97*(1+M97),2))</f>
        <v>11.63</v>
      </c>
      <c r="O97" s="21" t="s">
        <v>70</v>
      </c>
      <c r="P97" s="21"/>
      <c r="Q97" s="22" t="s">
        <v>71</v>
      </c>
      <c r="R97" s="22" t="s">
        <v>16</v>
      </c>
      <c r="S97" s="23" t="n">
        <f aca="false">IF(A97="","",COUNTIF(Registo!$B$2:$B$501,A97))</f>
        <v>0</v>
      </c>
      <c r="T97" s="17" t="str">
        <f aca="false">IF(OR(A97="",S97=0),"",LOOKUP(2,1/(Registo!$B$2:$B$501=A97),Registo!$E$2:$E$501))</f>
        <v/>
      </c>
      <c r="U97" s="24"/>
    </row>
    <row r="98" customFormat="false" ht="23.85" hidden="false" customHeight="false" outlineLevel="0" collapsed="false">
      <c r="A98" s="14" t="s">
        <v>261</v>
      </c>
      <c r="B98" s="15" t="s">
        <v>262</v>
      </c>
      <c r="C98" s="14" t="s">
        <v>252</v>
      </c>
      <c r="D98" s="14" t="s">
        <v>121</v>
      </c>
      <c r="E98" s="16"/>
      <c r="F98" s="16"/>
      <c r="G98" s="16"/>
      <c r="H98" s="16"/>
      <c r="I98" s="16" t="n">
        <v>45</v>
      </c>
      <c r="J98" s="17" t="n">
        <f aca="false">IF(AND(A98="",B98=""),"",IF(SUM(E98:H98)&gt;0,SUM(E98:H98),I98))</f>
        <v>45</v>
      </c>
      <c r="K98" s="17" t="n">
        <f aca="false">IF(J98="","",ROUND(IF(SUM(E98:H98)&gt;0,E98*(1+Config!$C$4)+F98*(1+Config!$C$5)+G98*(1+Config!$C$6)+H98*(1+Config!$C$7),I98*(1+Config!$C$8)),2))</f>
        <v>45.9</v>
      </c>
      <c r="L98" s="18"/>
      <c r="M98" s="19" t="n">
        <f aca="false">IF(J98="","",IF(L98="",Config!$C$3,L98))</f>
        <v>0.2</v>
      </c>
      <c r="N98" s="20" t="n">
        <f aca="false">IF(K98="","",ROUND(K98*(1+M98),2))</f>
        <v>55.08</v>
      </c>
      <c r="O98" s="21" t="s">
        <v>70</v>
      </c>
      <c r="P98" s="21"/>
      <c r="Q98" s="22" t="s">
        <v>71</v>
      </c>
      <c r="R98" s="22" t="s">
        <v>16</v>
      </c>
      <c r="S98" s="23" t="n">
        <f aca="false">IF(A98="","",COUNTIF(Registo!$B$2:$B$501,A98))</f>
        <v>0</v>
      </c>
      <c r="T98" s="17" t="str">
        <f aca="false">IF(OR(A98="",S98=0),"",LOOKUP(2,1/(Registo!$B$2:$B$501=A98),Registo!$E$2:$E$501))</f>
        <v/>
      </c>
      <c r="U98" s="24"/>
    </row>
    <row r="99" customFormat="false" ht="23.85" hidden="false" customHeight="false" outlineLevel="0" collapsed="false">
      <c r="A99" s="14" t="s">
        <v>263</v>
      </c>
      <c r="B99" s="15" t="s">
        <v>264</v>
      </c>
      <c r="C99" s="14" t="s">
        <v>252</v>
      </c>
      <c r="D99" s="14" t="s">
        <v>121</v>
      </c>
      <c r="E99" s="16"/>
      <c r="F99" s="16"/>
      <c r="G99" s="16"/>
      <c r="H99" s="16"/>
      <c r="I99" s="16" t="n">
        <v>35</v>
      </c>
      <c r="J99" s="17" t="n">
        <f aca="false">IF(AND(A99="",B99=""),"",IF(SUM(E99:H99)&gt;0,SUM(E99:H99),I99))</f>
        <v>35</v>
      </c>
      <c r="K99" s="17" t="n">
        <f aca="false">IF(J99="","",ROUND(IF(SUM(E99:H99)&gt;0,E99*(1+Config!$C$4)+F99*(1+Config!$C$5)+G99*(1+Config!$C$6)+H99*(1+Config!$C$7),I99*(1+Config!$C$8)),2))</f>
        <v>35.7</v>
      </c>
      <c r="L99" s="18"/>
      <c r="M99" s="19" t="n">
        <f aca="false">IF(J99="","",IF(L99="",Config!$C$3,L99))</f>
        <v>0.2</v>
      </c>
      <c r="N99" s="20" t="n">
        <f aca="false">IF(K99="","",ROUND(K99*(1+M99),2))</f>
        <v>42.84</v>
      </c>
      <c r="O99" s="21" t="s">
        <v>70</v>
      </c>
      <c r="P99" s="21"/>
      <c r="Q99" s="22" t="s">
        <v>71</v>
      </c>
      <c r="R99" s="22" t="s">
        <v>16</v>
      </c>
      <c r="S99" s="23" t="n">
        <f aca="false">IF(A99="","",COUNTIF(Registo!$B$2:$B$501,A99))</f>
        <v>0</v>
      </c>
      <c r="T99" s="17" t="str">
        <f aca="false">IF(OR(A99="",S99=0),"",LOOKUP(2,1/(Registo!$B$2:$B$501=A99),Registo!$E$2:$E$501))</f>
        <v/>
      </c>
      <c r="U99" s="24"/>
    </row>
    <row r="100" customFormat="false" ht="23.85" hidden="false" customHeight="false" outlineLevel="0" collapsed="false">
      <c r="A100" s="14" t="s">
        <v>265</v>
      </c>
      <c r="B100" s="15" t="s">
        <v>266</v>
      </c>
      <c r="C100" s="14" t="s">
        <v>252</v>
      </c>
      <c r="D100" s="14" t="s">
        <v>121</v>
      </c>
      <c r="E100" s="16"/>
      <c r="F100" s="16"/>
      <c r="G100" s="16"/>
      <c r="H100" s="16"/>
      <c r="I100" s="16" t="n">
        <v>45</v>
      </c>
      <c r="J100" s="17" t="n">
        <f aca="false">IF(AND(A100="",B100=""),"",IF(SUM(E100:H100)&gt;0,SUM(E100:H100),I100))</f>
        <v>45</v>
      </c>
      <c r="K100" s="17" t="n">
        <f aca="false">IF(J100="","",ROUND(IF(SUM(E100:H100)&gt;0,E100*(1+Config!$C$4)+F100*(1+Config!$C$5)+G100*(1+Config!$C$6)+H100*(1+Config!$C$7),I100*(1+Config!$C$8)),2))</f>
        <v>45.9</v>
      </c>
      <c r="L100" s="18"/>
      <c r="M100" s="19" t="n">
        <f aca="false">IF(J100="","",IF(L100="",Config!$C$3,L100))</f>
        <v>0.2</v>
      </c>
      <c r="N100" s="20" t="n">
        <f aca="false">IF(K100="","",ROUND(K100*(1+M100),2))</f>
        <v>55.08</v>
      </c>
      <c r="O100" s="21" t="s">
        <v>70</v>
      </c>
      <c r="P100" s="21"/>
      <c r="Q100" s="22" t="s">
        <v>71</v>
      </c>
      <c r="R100" s="22" t="s">
        <v>16</v>
      </c>
      <c r="S100" s="23" t="n">
        <f aca="false">IF(A100="","",COUNTIF(Registo!$B$2:$B$501,A100))</f>
        <v>0</v>
      </c>
      <c r="T100" s="17" t="str">
        <f aca="false">IF(OR(A100="",S100=0),"",LOOKUP(2,1/(Registo!$B$2:$B$501=A100),Registo!$E$2:$E$501))</f>
        <v/>
      </c>
      <c r="U100" s="24"/>
    </row>
    <row r="101" customFormat="false" ht="23.85" hidden="false" customHeight="false" outlineLevel="0" collapsed="false">
      <c r="A101" s="14" t="s">
        <v>267</v>
      </c>
      <c r="B101" s="15" t="s">
        <v>268</v>
      </c>
      <c r="C101" s="14" t="s">
        <v>252</v>
      </c>
      <c r="D101" s="14" t="s">
        <v>121</v>
      </c>
      <c r="E101" s="16"/>
      <c r="F101" s="16"/>
      <c r="G101" s="16"/>
      <c r="H101" s="16"/>
      <c r="I101" s="16" t="n">
        <v>28</v>
      </c>
      <c r="J101" s="17" t="n">
        <f aca="false">IF(AND(A101="",B101=""),"",IF(SUM(E101:H101)&gt;0,SUM(E101:H101),I101))</f>
        <v>28</v>
      </c>
      <c r="K101" s="17" t="n">
        <f aca="false">IF(J101="","",ROUND(IF(SUM(E101:H101)&gt;0,E101*(1+Config!$C$4)+F101*(1+Config!$C$5)+G101*(1+Config!$C$6)+H101*(1+Config!$C$7),I101*(1+Config!$C$8)),2))</f>
        <v>28.56</v>
      </c>
      <c r="L101" s="18"/>
      <c r="M101" s="19" t="n">
        <f aca="false">IF(J101="","",IF(L101="",Config!$C$3,L101))</f>
        <v>0.2</v>
      </c>
      <c r="N101" s="20" t="n">
        <f aca="false">IF(K101="","",ROUND(K101*(1+M101),2))</f>
        <v>34.27</v>
      </c>
      <c r="O101" s="21" t="s">
        <v>70</v>
      </c>
      <c r="P101" s="21"/>
      <c r="Q101" s="22" t="s">
        <v>71</v>
      </c>
      <c r="R101" s="22" t="s">
        <v>16</v>
      </c>
      <c r="S101" s="23" t="n">
        <f aca="false">IF(A101="","",COUNTIF(Registo!$B$2:$B$501,A101))</f>
        <v>0</v>
      </c>
      <c r="T101" s="17" t="str">
        <f aca="false">IF(OR(A101="",S101=0),"",LOOKUP(2,1/(Registo!$B$2:$B$501=A101),Registo!$E$2:$E$501))</f>
        <v/>
      </c>
      <c r="U101" s="24"/>
    </row>
    <row r="102" customFormat="false" ht="23.85" hidden="false" customHeight="false" outlineLevel="0" collapsed="false">
      <c r="A102" s="14" t="s">
        <v>269</v>
      </c>
      <c r="B102" s="15" t="s">
        <v>270</v>
      </c>
      <c r="C102" s="14" t="s">
        <v>252</v>
      </c>
      <c r="D102" s="14" t="s">
        <v>121</v>
      </c>
      <c r="E102" s="16"/>
      <c r="F102" s="16"/>
      <c r="G102" s="16"/>
      <c r="H102" s="16"/>
      <c r="I102" s="16" t="n">
        <v>35</v>
      </c>
      <c r="J102" s="17" t="n">
        <f aca="false">IF(AND(A102="",B102=""),"",IF(SUM(E102:H102)&gt;0,SUM(E102:H102),I102))</f>
        <v>35</v>
      </c>
      <c r="K102" s="17" t="n">
        <f aca="false">IF(J102="","",ROUND(IF(SUM(E102:H102)&gt;0,E102*(1+Config!$C$4)+F102*(1+Config!$C$5)+G102*(1+Config!$C$6)+H102*(1+Config!$C$7),I102*(1+Config!$C$8)),2))</f>
        <v>35.7</v>
      </c>
      <c r="L102" s="18"/>
      <c r="M102" s="19" t="n">
        <f aca="false">IF(J102="","",IF(L102="",Config!$C$3,L102))</f>
        <v>0.2</v>
      </c>
      <c r="N102" s="20" t="n">
        <f aca="false">IF(K102="","",ROUND(K102*(1+M102),2))</f>
        <v>42.84</v>
      </c>
      <c r="O102" s="21" t="s">
        <v>70</v>
      </c>
      <c r="P102" s="21"/>
      <c r="Q102" s="22" t="s">
        <v>71</v>
      </c>
      <c r="R102" s="22" t="s">
        <v>16</v>
      </c>
      <c r="S102" s="23" t="n">
        <f aca="false">IF(A102="","",COUNTIF(Registo!$B$2:$B$501,A102))</f>
        <v>0</v>
      </c>
      <c r="T102" s="17" t="str">
        <f aca="false">IF(OR(A102="",S102=0),"",LOOKUP(2,1/(Registo!$B$2:$B$501=A102),Registo!$E$2:$E$501))</f>
        <v/>
      </c>
      <c r="U102" s="24"/>
    </row>
    <row r="103" customFormat="false" ht="23.85" hidden="false" customHeight="false" outlineLevel="0" collapsed="false">
      <c r="A103" s="14" t="s">
        <v>271</v>
      </c>
      <c r="B103" s="15" t="s">
        <v>272</v>
      </c>
      <c r="C103" s="14" t="s">
        <v>252</v>
      </c>
      <c r="D103" s="14" t="s">
        <v>121</v>
      </c>
      <c r="E103" s="16"/>
      <c r="F103" s="16"/>
      <c r="G103" s="16"/>
      <c r="H103" s="16"/>
      <c r="I103" s="16" t="n">
        <v>120</v>
      </c>
      <c r="J103" s="17" t="n">
        <f aca="false">IF(AND(A103="",B103=""),"",IF(SUM(E103:H103)&gt;0,SUM(E103:H103),I103))</f>
        <v>120</v>
      </c>
      <c r="K103" s="17" t="n">
        <f aca="false">IF(J103="","",ROUND(IF(SUM(E103:H103)&gt;0,E103*(1+Config!$C$4)+F103*(1+Config!$C$5)+G103*(1+Config!$C$6)+H103*(1+Config!$C$7),I103*(1+Config!$C$8)),2))</f>
        <v>122.4</v>
      </c>
      <c r="L103" s="18"/>
      <c r="M103" s="19" t="n">
        <f aca="false">IF(J103="","",IF(L103="",Config!$C$3,L103))</f>
        <v>0.2</v>
      </c>
      <c r="N103" s="20" t="n">
        <f aca="false">IF(K103="","",ROUND(K103*(1+M103),2))</f>
        <v>146.88</v>
      </c>
      <c r="O103" s="21" t="s">
        <v>70</v>
      </c>
      <c r="P103" s="21"/>
      <c r="Q103" s="22" t="s">
        <v>71</v>
      </c>
      <c r="R103" s="22" t="s">
        <v>16</v>
      </c>
      <c r="S103" s="23" t="n">
        <f aca="false">IF(A103="","",COUNTIF(Registo!$B$2:$B$501,A103))</f>
        <v>0</v>
      </c>
      <c r="T103" s="17" t="str">
        <f aca="false">IF(OR(A103="",S103=0),"",LOOKUP(2,1/(Registo!$B$2:$B$501=A103),Registo!$E$2:$E$501))</f>
        <v/>
      </c>
      <c r="U103" s="24"/>
    </row>
    <row r="104" customFormat="false" ht="23.85" hidden="false" customHeight="false" outlineLevel="0" collapsed="false">
      <c r="A104" s="14" t="s">
        <v>273</v>
      </c>
      <c r="B104" s="15" t="s">
        <v>274</v>
      </c>
      <c r="C104" s="14" t="s">
        <v>252</v>
      </c>
      <c r="D104" s="14" t="s">
        <v>121</v>
      </c>
      <c r="E104" s="16"/>
      <c r="F104" s="16"/>
      <c r="G104" s="16"/>
      <c r="H104" s="16"/>
      <c r="I104" s="16" t="n">
        <v>380</v>
      </c>
      <c r="J104" s="17" t="n">
        <f aca="false">IF(AND(A104="",B104=""),"",IF(SUM(E104:H104)&gt;0,SUM(E104:H104),I104))</f>
        <v>380</v>
      </c>
      <c r="K104" s="17" t="n">
        <f aca="false">IF(J104="","",ROUND(IF(SUM(E104:H104)&gt;0,E104*(1+Config!$C$4)+F104*(1+Config!$C$5)+G104*(1+Config!$C$6)+H104*(1+Config!$C$7),I104*(1+Config!$C$8)),2))</f>
        <v>387.6</v>
      </c>
      <c r="L104" s="18"/>
      <c r="M104" s="19" t="n">
        <f aca="false">IF(J104="","",IF(L104="",Config!$C$3,L104))</f>
        <v>0.2</v>
      </c>
      <c r="N104" s="20" t="n">
        <f aca="false">IF(K104="","",ROUND(K104*(1+M104),2))</f>
        <v>465.12</v>
      </c>
      <c r="O104" s="21" t="s">
        <v>70</v>
      </c>
      <c r="P104" s="21"/>
      <c r="Q104" s="22" t="s">
        <v>71</v>
      </c>
      <c r="R104" s="22" t="s">
        <v>16</v>
      </c>
      <c r="S104" s="23" t="n">
        <f aca="false">IF(A104="","",COUNTIF(Registo!$B$2:$B$501,A104))</f>
        <v>0</v>
      </c>
      <c r="T104" s="17" t="str">
        <f aca="false">IF(OR(A104="",S104=0),"",LOOKUP(2,1/(Registo!$B$2:$B$501=A104),Registo!$E$2:$E$501))</f>
        <v/>
      </c>
      <c r="U104" s="24"/>
    </row>
    <row r="105" customFormat="false" ht="23.85" hidden="false" customHeight="false" outlineLevel="0" collapsed="false">
      <c r="A105" s="14" t="s">
        <v>275</v>
      </c>
      <c r="B105" s="15" t="s">
        <v>276</v>
      </c>
      <c r="C105" s="14" t="s">
        <v>252</v>
      </c>
      <c r="D105" s="14" t="s">
        <v>121</v>
      </c>
      <c r="E105" s="16"/>
      <c r="F105" s="16"/>
      <c r="G105" s="16"/>
      <c r="H105" s="16"/>
      <c r="I105" s="16" t="n">
        <v>6800</v>
      </c>
      <c r="J105" s="17" t="n">
        <f aca="false">IF(AND(A105="",B105=""),"",IF(SUM(E105:H105)&gt;0,SUM(E105:H105),I105))</f>
        <v>6800</v>
      </c>
      <c r="K105" s="17" t="n">
        <f aca="false">IF(J105="","",ROUND(IF(SUM(E105:H105)&gt;0,E105*(1+Config!$C$4)+F105*(1+Config!$C$5)+G105*(1+Config!$C$6)+H105*(1+Config!$C$7),I105*(1+Config!$C$8)),2))</f>
        <v>6936</v>
      </c>
      <c r="L105" s="18"/>
      <c r="M105" s="19" t="n">
        <f aca="false">IF(J105="","",IF(L105="",Config!$C$3,L105))</f>
        <v>0.2</v>
      </c>
      <c r="N105" s="20" t="n">
        <f aca="false">IF(K105="","",ROUND(K105*(1+M105),2))</f>
        <v>8323.2</v>
      </c>
      <c r="O105" s="21" t="s">
        <v>70</v>
      </c>
      <c r="P105" s="21"/>
      <c r="Q105" s="22" t="s">
        <v>71</v>
      </c>
      <c r="R105" s="22" t="s">
        <v>16</v>
      </c>
      <c r="S105" s="23" t="n">
        <f aca="false">IF(A105="","",COUNTIF(Registo!$B$2:$B$501,A105))</f>
        <v>0</v>
      </c>
      <c r="T105" s="17" t="str">
        <f aca="false">IF(OR(A105="",S105=0),"",LOOKUP(2,1/(Registo!$B$2:$B$501=A105),Registo!$E$2:$E$501))</f>
        <v/>
      </c>
      <c r="U105" s="24"/>
    </row>
    <row r="106" customFormat="false" ht="23.85" hidden="false" customHeight="false" outlineLevel="0" collapsed="false">
      <c r="A106" s="14" t="s">
        <v>277</v>
      </c>
      <c r="B106" s="15" t="s">
        <v>278</v>
      </c>
      <c r="C106" s="14" t="s">
        <v>252</v>
      </c>
      <c r="D106" s="14" t="s">
        <v>121</v>
      </c>
      <c r="E106" s="16"/>
      <c r="F106" s="16"/>
      <c r="G106" s="16"/>
      <c r="H106" s="16"/>
      <c r="I106" s="16" t="n">
        <v>9500</v>
      </c>
      <c r="J106" s="17" t="n">
        <f aca="false">IF(AND(A106="",B106=""),"",IF(SUM(E106:H106)&gt;0,SUM(E106:H106),I106))</f>
        <v>9500</v>
      </c>
      <c r="K106" s="17" t="n">
        <f aca="false">IF(J106="","",ROUND(IF(SUM(E106:H106)&gt;0,E106*(1+Config!$C$4)+F106*(1+Config!$C$5)+G106*(1+Config!$C$6)+H106*(1+Config!$C$7),I106*(1+Config!$C$8)),2))</f>
        <v>9690</v>
      </c>
      <c r="L106" s="18"/>
      <c r="M106" s="19" t="n">
        <f aca="false">IF(J106="","",IF(L106="",Config!$C$3,L106))</f>
        <v>0.2</v>
      </c>
      <c r="N106" s="20" t="n">
        <f aca="false">IF(K106="","",ROUND(K106*(1+M106),2))</f>
        <v>11628</v>
      </c>
      <c r="O106" s="21" t="s">
        <v>70</v>
      </c>
      <c r="P106" s="21"/>
      <c r="Q106" s="22" t="s">
        <v>71</v>
      </c>
      <c r="R106" s="22" t="s">
        <v>16</v>
      </c>
      <c r="S106" s="23" t="n">
        <f aca="false">IF(A106="","",COUNTIF(Registo!$B$2:$B$501,A106))</f>
        <v>0</v>
      </c>
      <c r="T106" s="17" t="str">
        <f aca="false">IF(OR(A106="",S106=0),"",LOOKUP(2,1/(Registo!$B$2:$B$501=A106),Registo!$E$2:$E$501))</f>
        <v/>
      </c>
      <c r="U106" s="24"/>
    </row>
    <row r="107" customFormat="false" ht="23.85" hidden="false" customHeight="false" outlineLevel="0" collapsed="false">
      <c r="A107" s="14" t="s">
        <v>279</v>
      </c>
      <c r="B107" s="15" t="s">
        <v>280</v>
      </c>
      <c r="C107" s="14" t="s">
        <v>252</v>
      </c>
      <c r="D107" s="14" t="s">
        <v>121</v>
      </c>
      <c r="E107" s="16"/>
      <c r="F107" s="16"/>
      <c r="G107" s="16"/>
      <c r="H107" s="16"/>
      <c r="I107" s="16" t="n">
        <v>1200</v>
      </c>
      <c r="J107" s="17" t="n">
        <f aca="false">IF(AND(A107="",B107=""),"",IF(SUM(E107:H107)&gt;0,SUM(E107:H107),I107))</f>
        <v>1200</v>
      </c>
      <c r="K107" s="17" t="n">
        <f aca="false">IF(J107="","",ROUND(IF(SUM(E107:H107)&gt;0,E107*(1+Config!$C$4)+F107*(1+Config!$C$5)+G107*(1+Config!$C$6)+H107*(1+Config!$C$7),I107*(1+Config!$C$8)),2))</f>
        <v>1224</v>
      </c>
      <c r="L107" s="18"/>
      <c r="M107" s="19" t="n">
        <f aca="false">IF(J107="","",IF(L107="",Config!$C$3,L107))</f>
        <v>0.2</v>
      </c>
      <c r="N107" s="20" t="n">
        <f aca="false">IF(K107="","",ROUND(K107*(1+M107),2))</f>
        <v>1468.8</v>
      </c>
      <c r="O107" s="21" t="s">
        <v>70</v>
      </c>
      <c r="P107" s="21"/>
      <c r="Q107" s="22" t="s">
        <v>71</v>
      </c>
      <c r="R107" s="22" t="s">
        <v>16</v>
      </c>
      <c r="S107" s="23" t="n">
        <f aca="false">IF(A107="","",COUNTIF(Registo!$B$2:$B$501,A107))</f>
        <v>0</v>
      </c>
      <c r="T107" s="17" t="str">
        <f aca="false">IF(OR(A107="",S107=0),"",LOOKUP(2,1/(Registo!$B$2:$B$501=A107),Registo!$E$2:$E$501))</f>
        <v/>
      </c>
      <c r="U107" s="24"/>
    </row>
    <row r="108" customFormat="false" ht="23.85" hidden="false" customHeight="false" outlineLevel="0" collapsed="false">
      <c r="A108" s="14" t="s">
        <v>281</v>
      </c>
      <c r="B108" s="15" t="s">
        <v>282</v>
      </c>
      <c r="C108" s="14" t="s">
        <v>252</v>
      </c>
      <c r="D108" s="14" t="s">
        <v>59</v>
      </c>
      <c r="E108" s="16"/>
      <c r="F108" s="16"/>
      <c r="G108" s="16"/>
      <c r="H108" s="16"/>
      <c r="I108" s="16" t="n">
        <v>3400</v>
      </c>
      <c r="J108" s="17" t="n">
        <f aca="false">IF(AND(A108="",B108=""),"",IF(SUM(E108:H108)&gt;0,SUM(E108:H108),I108))</f>
        <v>3400</v>
      </c>
      <c r="K108" s="17" t="n">
        <f aca="false">IF(J108="","",ROUND(IF(SUM(E108:H108)&gt;0,E108*(1+Config!$C$4)+F108*(1+Config!$C$5)+G108*(1+Config!$C$6)+H108*(1+Config!$C$7),I108*(1+Config!$C$8)),2))</f>
        <v>3468</v>
      </c>
      <c r="L108" s="18"/>
      <c r="M108" s="19" t="n">
        <f aca="false">IF(J108="","",IF(L108="",Config!$C$3,L108))</f>
        <v>0.2</v>
      </c>
      <c r="N108" s="20" t="n">
        <f aca="false">IF(K108="","",ROUND(K108*(1+M108),2))</f>
        <v>4161.6</v>
      </c>
      <c r="O108" s="21" t="s">
        <v>60</v>
      </c>
      <c r="P108" s="21" t="s">
        <v>61</v>
      </c>
      <c r="Q108" s="22" t="s">
        <v>62</v>
      </c>
      <c r="R108" s="22" t="s">
        <v>14</v>
      </c>
      <c r="S108" s="23" t="n">
        <f aca="false">IF(A108="","",COUNTIF(Registo!$B$2:$B$501,A108))</f>
        <v>0</v>
      </c>
      <c r="T108" s="17" t="str">
        <f aca="false">IF(OR(A108="",S108=0),"",LOOKUP(2,1/(Registo!$B$2:$B$501=A108),Registo!$E$2:$E$501))</f>
        <v/>
      </c>
      <c r="U108" s="24" t="s">
        <v>63</v>
      </c>
    </row>
    <row r="109" customFormat="false" ht="23.85" hidden="false" customHeight="false" outlineLevel="0" collapsed="false">
      <c r="A109" s="14" t="s">
        <v>283</v>
      </c>
      <c r="B109" s="15" t="s">
        <v>284</v>
      </c>
      <c r="C109" s="14" t="s">
        <v>252</v>
      </c>
      <c r="D109" s="14" t="s">
        <v>121</v>
      </c>
      <c r="E109" s="16"/>
      <c r="F109" s="16"/>
      <c r="G109" s="16"/>
      <c r="H109" s="16"/>
      <c r="I109" s="16" t="n">
        <v>32</v>
      </c>
      <c r="J109" s="17" t="n">
        <f aca="false">IF(AND(A109="",B109=""),"",IF(SUM(E109:H109)&gt;0,SUM(E109:H109),I109))</f>
        <v>32</v>
      </c>
      <c r="K109" s="17" t="n">
        <f aca="false">IF(J109="","",ROUND(IF(SUM(E109:H109)&gt;0,E109*(1+Config!$C$4)+F109*(1+Config!$C$5)+G109*(1+Config!$C$6)+H109*(1+Config!$C$7),I109*(1+Config!$C$8)),2))</f>
        <v>32.64</v>
      </c>
      <c r="L109" s="18"/>
      <c r="M109" s="19" t="n">
        <f aca="false">IF(J109="","",IF(L109="",Config!$C$3,L109))</f>
        <v>0.2</v>
      </c>
      <c r="N109" s="20" t="n">
        <f aca="false">IF(K109="","",ROUND(K109*(1+M109),2))</f>
        <v>39.17</v>
      </c>
      <c r="O109" s="21" t="s">
        <v>60</v>
      </c>
      <c r="P109" s="21" t="s">
        <v>61</v>
      </c>
      <c r="Q109" s="22" t="s">
        <v>62</v>
      </c>
      <c r="R109" s="22" t="s">
        <v>14</v>
      </c>
      <c r="S109" s="23" t="n">
        <f aca="false">IF(A109="","",COUNTIF(Registo!$B$2:$B$501,A109))</f>
        <v>0</v>
      </c>
      <c r="T109" s="17" t="str">
        <f aca="false">IF(OR(A109="",S109=0),"",LOOKUP(2,1/(Registo!$B$2:$B$501=A109),Registo!$E$2:$E$501))</f>
        <v/>
      </c>
      <c r="U109" s="24" t="s">
        <v>63</v>
      </c>
    </row>
    <row r="110" customFormat="false" ht="23.85" hidden="false" customHeight="false" outlineLevel="0" collapsed="false">
      <c r="A110" s="14" t="s">
        <v>285</v>
      </c>
      <c r="B110" s="15" t="s">
        <v>286</v>
      </c>
      <c r="C110" s="14" t="s">
        <v>252</v>
      </c>
      <c r="D110" s="14" t="s">
        <v>121</v>
      </c>
      <c r="E110" s="16"/>
      <c r="F110" s="16"/>
      <c r="G110" s="16"/>
      <c r="H110" s="16"/>
      <c r="I110" s="16" t="n">
        <v>44</v>
      </c>
      <c r="J110" s="17" t="n">
        <f aca="false">IF(AND(A110="",B110=""),"",IF(SUM(E110:H110)&gt;0,SUM(E110:H110),I110))</f>
        <v>44</v>
      </c>
      <c r="K110" s="17" t="n">
        <f aca="false">IF(J110="","",ROUND(IF(SUM(E110:H110)&gt;0,E110*(1+Config!$C$4)+F110*(1+Config!$C$5)+G110*(1+Config!$C$6)+H110*(1+Config!$C$7),I110*(1+Config!$C$8)),2))</f>
        <v>44.88</v>
      </c>
      <c r="L110" s="18"/>
      <c r="M110" s="19" t="n">
        <f aca="false">IF(J110="","",IF(L110="",Config!$C$3,L110))</f>
        <v>0.2</v>
      </c>
      <c r="N110" s="20" t="n">
        <f aca="false">IF(K110="","",ROUND(K110*(1+M110),2))</f>
        <v>53.86</v>
      </c>
      <c r="O110" s="21" t="s">
        <v>60</v>
      </c>
      <c r="P110" s="21" t="s">
        <v>61</v>
      </c>
      <c r="Q110" s="22" t="s">
        <v>62</v>
      </c>
      <c r="R110" s="22" t="s">
        <v>14</v>
      </c>
      <c r="S110" s="23" t="n">
        <f aca="false">IF(A110="","",COUNTIF(Registo!$B$2:$B$501,A110))</f>
        <v>0</v>
      </c>
      <c r="T110" s="17" t="str">
        <f aca="false">IF(OR(A110="",S110=0),"",LOOKUP(2,1/(Registo!$B$2:$B$501=A110),Registo!$E$2:$E$501))</f>
        <v/>
      </c>
      <c r="U110" s="24" t="s">
        <v>63</v>
      </c>
    </row>
    <row r="111" customFormat="false" ht="23.85" hidden="false" customHeight="false" outlineLevel="0" collapsed="false">
      <c r="A111" s="14" t="s">
        <v>287</v>
      </c>
      <c r="B111" s="15" t="s">
        <v>288</v>
      </c>
      <c r="C111" s="14" t="s">
        <v>252</v>
      </c>
      <c r="D111" s="14" t="s">
        <v>59</v>
      </c>
      <c r="E111" s="16"/>
      <c r="F111" s="16"/>
      <c r="G111" s="16"/>
      <c r="H111" s="16"/>
      <c r="I111" s="16" t="n">
        <v>420</v>
      </c>
      <c r="J111" s="17" t="n">
        <f aca="false">IF(AND(A111="",B111=""),"",IF(SUM(E111:H111)&gt;0,SUM(E111:H111),I111))</f>
        <v>420</v>
      </c>
      <c r="K111" s="17" t="n">
        <f aca="false">IF(J111="","",ROUND(IF(SUM(E111:H111)&gt;0,E111*(1+Config!$C$4)+F111*(1+Config!$C$5)+G111*(1+Config!$C$6)+H111*(1+Config!$C$7),I111*(1+Config!$C$8)),2))</f>
        <v>428.4</v>
      </c>
      <c r="L111" s="18"/>
      <c r="M111" s="19" t="n">
        <f aca="false">IF(J111="","",IF(L111="",Config!$C$3,L111))</f>
        <v>0.2</v>
      </c>
      <c r="N111" s="20" t="n">
        <f aca="false">IF(K111="","",ROUND(K111*(1+M111),2))</f>
        <v>514.08</v>
      </c>
      <c r="O111" s="21" t="s">
        <v>60</v>
      </c>
      <c r="P111" s="21" t="s">
        <v>61</v>
      </c>
      <c r="Q111" s="22" t="s">
        <v>62</v>
      </c>
      <c r="R111" s="22" t="s">
        <v>14</v>
      </c>
      <c r="S111" s="23" t="n">
        <f aca="false">IF(A111="","",COUNTIF(Registo!$B$2:$B$501,A111))</f>
        <v>0</v>
      </c>
      <c r="T111" s="17" t="str">
        <f aca="false">IF(OR(A111="",S111=0),"",LOOKUP(2,1/(Registo!$B$2:$B$501=A111),Registo!$E$2:$E$501))</f>
        <v/>
      </c>
      <c r="U111" s="24" t="s">
        <v>63</v>
      </c>
    </row>
    <row r="112" customFormat="false" ht="23.85" hidden="false" customHeight="false" outlineLevel="0" collapsed="false">
      <c r="A112" s="14" t="s">
        <v>289</v>
      </c>
      <c r="B112" s="15" t="s">
        <v>290</v>
      </c>
      <c r="C112" s="14" t="s">
        <v>252</v>
      </c>
      <c r="D112" s="14" t="s">
        <v>59</v>
      </c>
      <c r="E112" s="16"/>
      <c r="F112" s="16"/>
      <c r="G112" s="16"/>
      <c r="H112" s="16"/>
      <c r="I112" s="16" t="n">
        <v>500</v>
      </c>
      <c r="J112" s="17" t="n">
        <f aca="false">IF(AND(A112="",B112=""),"",IF(SUM(E112:H112)&gt;0,SUM(E112:H112),I112))</f>
        <v>500</v>
      </c>
      <c r="K112" s="17" t="n">
        <f aca="false">IF(J112="","",ROUND(IF(SUM(E112:H112)&gt;0,E112*(1+Config!$C$4)+F112*(1+Config!$C$5)+G112*(1+Config!$C$6)+H112*(1+Config!$C$7),I112*(1+Config!$C$8)),2))</f>
        <v>510</v>
      </c>
      <c r="L112" s="18"/>
      <c r="M112" s="19" t="n">
        <f aca="false">IF(J112="","",IF(L112="",Config!$C$3,L112))</f>
        <v>0.2</v>
      </c>
      <c r="N112" s="20" t="n">
        <f aca="false">IF(K112="","",ROUND(K112*(1+M112),2))</f>
        <v>612</v>
      </c>
      <c r="O112" s="21" t="s">
        <v>60</v>
      </c>
      <c r="P112" s="21" t="s">
        <v>61</v>
      </c>
      <c r="Q112" s="22" t="s">
        <v>62</v>
      </c>
      <c r="R112" s="22" t="s">
        <v>14</v>
      </c>
      <c r="S112" s="23" t="n">
        <f aca="false">IF(A112="","",COUNTIF(Registo!$B$2:$B$501,A112))</f>
        <v>0</v>
      </c>
      <c r="T112" s="17" t="str">
        <f aca="false">IF(OR(A112="",S112=0),"",LOOKUP(2,1/(Registo!$B$2:$B$501=A112),Registo!$E$2:$E$501))</f>
        <v/>
      </c>
      <c r="U112" s="24" t="s">
        <v>63</v>
      </c>
    </row>
    <row r="113" customFormat="false" ht="23.85" hidden="false" customHeight="false" outlineLevel="0" collapsed="false">
      <c r="A113" s="14" t="s">
        <v>291</v>
      </c>
      <c r="B113" s="15" t="s">
        <v>292</v>
      </c>
      <c r="C113" s="14" t="s">
        <v>293</v>
      </c>
      <c r="D113" s="14" t="s">
        <v>121</v>
      </c>
      <c r="E113" s="16"/>
      <c r="F113" s="16"/>
      <c r="G113" s="16"/>
      <c r="H113" s="16"/>
      <c r="I113" s="16" t="n">
        <v>85</v>
      </c>
      <c r="J113" s="17" t="n">
        <f aca="false">IF(AND(A113="",B113=""),"",IF(SUM(E113:H113)&gt;0,SUM(E113:H113),I113))</f>
        <v>85</v>
      </c>
      <c r="K113" s="17" t="n">
        <f aca="false">IF(J113="","",ROUND(IF(SUM(E113:H113)&gt;0,E113*(1+Config!$C$4)+F113*(1+Config!$C$5)+G113*(1+Config!$C$6)+H113*(1+Config!$C$7),I113*(1+Config!$C$8)),2))</f>
        <v>86.7</v>
      </c>
      <c r="L113" s="18"/>
      <c r="M113" s="19" t="n">
        <f aca="false">IF(J113="","",IF(L113="",Config!$C$3,L113))</f>
        <v>0.2</v>
      </c>
      <c r="N113" s="20" t="n">
        <f aca="false">IF(K113="","",ROUND(K113*(1+M113),2))</f>
        <v>104.04</v>
      </c>
      <c r="O113" s="21" t="s">
        <v>70</v>
      </c>
      <c r="P113" s="21"/>
      <c r="Q113" s="22" t="s">
        <v>71</v>
      </c>
      <c r="R113" s="22" t="s">
        <v>16</v>
      </c>
      <c r="S113" s="23" t="n">
        <f aca="false">IF(A113="","",COUNTIF(Registo!$B$2:$B$501,A113))</f>
        <v>0</v>
      </c>
      <c r="T113" s="17" t="str">
        <f aca="false">IF(OR(A113="",S113=0),"",LOOKUP(2,1/(Registo!$B$2:$B$501=A113),Registo!$E$2:$E$501))</f>
        <v/>
      </c>
      <c r="U113" s="24"/>
    </row>
    <row r="114" customFormat="false" ht="23.85" hidden="false" customHeight="false" outlineLevel="0" collapsed="false">
      <c r="A114" s="14" t="s">
        <v>294</v>
      </c>
      <c r="B114" s="15" t="s">
        <v>295</v>
      </c>
      <c r="C114" s="14" t="s">
        <v>293</v>
      </c>
      <c r="D114" s="14" t="s">
        <v>121</v>
      </c>
      <c r="E114" s="16"/>
      <c r="F114" s="16"/>
      <c r="G114" s="16"/>
      <c r="H114" s="16"/>
      <c r="I114" s="16" t="n">
        <v>45</v>
      </c>
      <c r="J114" s="17" t="n">
        <f aca="false">IF(AND(A114="",B114=""),"",IF(SUM(E114:H114)&gt;0,SUM(E114:H114),I114))</f>
        <v>45</v>
      </c>
      <c r="K114" s="17" t="n">
        <f aca="false">IF(J114="","",ROUND(IF(SUM(E114:H114)&gt;0,E114*(1+Config!$C$4)+F114*(1+Config!$C$5)+G114*(1+Config!$C$6)+H114*(1+Config!$C$7),I114*(1+Config!$C$8)),2))</f>
        <v>45.9</v>
      </c>
      <c r="L114" s="18"/>
      <c r="M114" s="19" t="n">
        <f aca="false">IF(J114="","",IF(L114="",Config!$C$3,L114))</f>
        <v>0.2</v>
      </c>
      <c r="N114" s="20" t="n">
        <f aca="false">IF(K114="","",ROUND(K114*(1+M114),2))</f>
        <v>55.08</v>
      </c>
      <c r="O114" s="21" t="s">
        <v>70</v>
      </c>
      <c r="P114" s="21"/>
      <c r="Q114" s="22" t="s">
        <v>71</v>
      </c>
      <c r="R114" s="22" t="s">
        <v>16</v>
      </c>
      <c r="S114" s="23" t="n">
        <f aca="false">IF(A114="","",COUNTIF(Registo!$B$2:$B$501,A114))</f>
        <v>0</v>
      </c>
      <c r="T114" s="17" t="str">
        <f aca="false">IF(OR(A114="",S114=0),"",LOOKUP(2,1/(Registo!$B$2:$B$501=A114),Registo!$E$2:$E$501))</f>
        <v/>
      </c>
      <c r="U114" s="24"/>
    </row>
    <row r="115" customFormat="false" ht="23.85" hidden="false" customHeight="false" outlineLevel="0" collapsed="false">
      <c r="A115" s="14" t="s">
        <v>296</v>
      </c>
      <c r="B115" s="15" t="s">
        <v>297</v>
      </c>
      <c r="C115" s="14" t="s">
        <v>293</v>
      </c>
      <c r="D115" s="14" t="s">
        <v>121</v>
      </c>
      <c r="E115" s="16"/>
      <c r="F115" s="16"/>
      <c r="G115" s="16"/>
      <c r="H115" s="16"/>
      <c r="I115" s="16" t="n">
        <v>320</v>
      </c>
      <c r="J115" s="17" t="n">
        <f aca="false">IF(AND(A115="",B115=""),"",IF(SUM(E115:H115)&gt;0,SUM(E115:H115),I115))</f>
        <v>320</v>
      </c>
      <c r="K115" s="17" t="n">
        <f aca="false">IF(J115="","",ROUND(IF(SUM(E115:H115)&gt;0,E115*(1+Config!$C$4)+F115*(1+Config!$C$5)+G115*(1+Config!$C$6)+H115*(1+Config!$C$7),I115*(1+Config!$C$8)),2))</f>
        <v>326.4</v>
      </c>
      <c r="L115" s="18"/>
      <c r="M115" s="19" t="n">
        <f aca="false">IF(J115="","",IF(L115="",Config!$C$3,L115))</f>
        <v>0.2</v>
      </c>
      <c r="N115" s="20" t="n">
        <f aca="false">IF(K115="","",ROUND(K115*(1+M115),2))</f>
        <v>391.68</v>
      </c>
      <c r="O115" s="21" t="s">
        <v>70</v>
      </c>
      <c r="P115" s="21"/>
      <c r="Q115" s="22" t="s">
        <v>71</v>
      </c>
      <c r="R115" s="22" t="s">
        <v>16</v>
      </c>
      <c r="S115" s="23" t="n">
        <f aca="false">IF(A115="","",COUNTIF(Registo!$B$2:$B$501,A115))</f>
        <v>0</v>
      </c>
      <c r="T115" s="17" t="str">
        <f aca="false">IF(OR(A115="",S115=0),"",LOOKUP(2,1/(Registo!$B$2:$B$501=A115),Registo!$E$2:$E$501))</f>
        <v/>
      </c>
      <c r="U115" s="24"/>
    </row>
    <row r="116" customFormat="false" ht="23.85" hidden="false" customHeight="false" outlineLevel="0" collapsed="false">
      <c r="A116" s="14" t="s">
        <v>298</v>
      </c>
      <c r="B116" s="15" t="s">
        <v>299</v>
      </c>
      <c r="C116" s="14" t="s">
        <v>293</v>
      </c>
      <c r="D116" s="14" t="s">
        <v>121</v>
      </c>
      <c r="E116" s="16"/>
      <c r="F116" s="16"/>
      <c r="G116" s="16"/>
      <c r="H116" s="16"/>
      <c r="I116" s="16" t="n">
        <v>580</v>
      </c>
      <c r="J116" s="17" t="n">
        <f aca="false">IF(AND(A116="",B116=""),"",IF(SUM(E116:H116)&gt;0,SUM(E116:H116),I116))</f>
        <v>580</v>
      </c>
      <c r="K116" s="17" t="n">
        <f aca="false">IF(J116="","",ROUND(IF(SUM(E116:H116)&gt;0,E116*(1+Config!$C$4)+F116*(1+Config!$C$5)+G116*(1+Config!$C$6)+H116*(1+Config!$C$7),I116*(1+Config!$C$8)),2))</f>
        <v>591.6</v>
      </c>
      <c r="L116" s="18"/>
      <c r="M116" s="19" t="n">
        <f aca="false">IF(J116="","",IF(L116="",Config!$C$3,L116))</f>
        <v>0.2</v>
      </c>
      <c r="N116" s="20" t="n">
        <f aca="false">IF(K116="","",ROUND(K116*(1+M116),2))</f>
        <v>709.92</v>
      </c>
      <c r="O116" s="21" t="s">
        <v>70</v>
      </c>
      <c r="P116" s="21"/>
      <c r="Q116" s="22" t="s">
        <v>71</v>
      </c>
      <c r="R116" s="22" t="s">
        <v>16</v>
      </c>
      <c r="S116" s="23" t="n">
        <f aca="false">IF(A116="","",COUNTIF(Registo!$B$2:$B$501,A116))</f>
        <v>0</v>
      </c>
      <c r="T116" s="17" t="str">
        <f aca="false">IF(OR(A116="",S116=0),"",LOOKUP(2,1/(Registo!$B$2:$B$501=A116),Registo!$E$2:$E$501))</f>
        <v/>
      </c>
      <c r="U116" s="24"/>
    </row>
    <row r="117" customFormat="false" ht="23.85" hidden="false" customHeight="false" outlineLevel="0" collapsed="false">
      <c r="A117" s="14" t="s">
        <v>300</v>
      </c>
      <c r="B117" s="15" t="s">
        <v>301</v>
      </c>
      <c r="C117" s="14" t="s">
        <v>293</v>
      </c>
      <c r="D117" s="14" t="s">
        <v>104</v>
      </c>
      <c r="E117" s="16"/>
      <c r="F117" s="16"/>
      <c r="G117" s="16"/>
      <c r="H117" s="16"/>
      <c r="I117" s="16" t="n">
        <v>4.5</v>
      </c>
      <c r="J117" s="17" t="n">
        <f aca="false">IF(AND(A117="",B117=""),"",IF(SUM(E117:H117)&gt;0,SUM(E117:H117),I117))</f>
        <v>4.5</v>
      </c>
      <c r="K117" s="17" t="n">
        <f aca="false">IF(J117="","",ROUND(IF(SUM(E117:H117)&gt;0,E117*(1+Config!$C$4)+F117*(1+Config!$C$5)+G117*(1+Config!$C$6)+H117*(1+Config!$C$7),I117*(1+Config!$C$8)),2))</f>
        <v>4.59</v>
      </c>
      <c r="L117" s="18"/>
      <c r="M117" s="19" t="n">
        <f aca="false">IF(J117="","",IF(L117="",Config!$C$3,L117))</f>
        <v>0.2</v>
      </c>
      <c r="N117" s="20" t="n">
        <f aca="false">IF(K117="","",ROUND(K117*(1+M117),2))</f>
        <v>5.51</v>
      </c>
      <c r="O117" s="21" t="s">
        <v>70</v>
      </c>
      <c r="P117" s="21"/>
      <c r="Q117" s="22" t="s">
        <v>71</v>
      </c>
      <c r="R117" s="22" t="s">
        <v>16</v>
      </c>
      <c r="S117" s="23" t="n">
        <f aca="false">IF(A117="","",COUNTIF(Registo!$B$2:$B$501,A117))</f>
        <v>0</v>
      </c>
      <c r="T117" s="17" t="str">
        <f aca="false">IF(OR(A117="",S117=0),"",LOOKUP(2,1/(Registo!$B$2:$B$501=A117),Registo!$E$2:$E$501))</f>
        <v/>
      </c>
      <c r="U117" s="24"/>
    </row>
    <row r="118" customFormat="false" ht="23.85" hidden="false" customHeight="false" outlineLevel="0" collapsed="false">
      <c r="A118" s="14" t="s">
        <v>302</v>
      </c>
      <c r="B118" s="15" t="s">
        <v>303</v>
      </c>
      <c r="C118" s="14" t="s">
        <v>293</v>
      </c>
      <c r="D118" s="14" t="s">
        <v>121</v>
      </c>
      <c r="E118" s="16"/>
      <c r="F118" s="16"/>
      <c r="G118" s="16"/>
      <c r="H118" s="16"/>
      <c r="I118" s="16" t="n">
        <v>180</v>
      </c>
      <c r="J118" s="17" t="n">
        <f aca="false">IF(AND(A118="",B118=""),"",IF(SUM(E118:H118)&gt;0,SUM(E118:H118),I118))</f>
        <v>180</v>
      </c>
      <c r="K118" s="17" t="n">
        <f aca="false">IF(J118="","",ROUND(IF(SUM(E118:H118)&gt;0,E118*(1+Config!$C$4)+F118*(1+Config!$C$5)+G118*(1+Config!$C$6)+H118*(1+Config!$C$7),I118*(1+Config!$C$8)),2))</f>
        <v>183.6</v>
      </c>
      <c r="L118" s="18"/>
      <c r="M118" s="19" t="n">
        <f aca="false">IF(J118="","",IF(L118="",Config!$C$3,L118))</f>
        <v>0.2</v>
      </c>
      <c r="N118" s="20" t="n">
        <f aca="false">IF(K118="","",ROUND(K118*(1+M118),2))</f>
        <v>220.32</v>
      </c>
      <c r="O118" s="21" t="s">
        <v>70</v>
      </c>
      <c r="P118" s="21"/>
      <c r="Q118" s="22" t="s">
        <v>71</v>
      </c>
      <c r="R118" s="22" t="s">
        <v>16</v>
      </c>
      <c r="S118" s="23" t="n">
        <f aca="false">IF(A118="","",COUNTIF(Registo!$B$2:$B$501,A118))</f>
        <v>0</v>
      </c>
      <c r="T118" s="17" t="str">
        <f aca="false">IF(OR(A118="",S118=0),"",LOOKUP(2,1/(Registo!$B$2:$B$501=A118),Registo!$E$2:$E$501))</f>
        <v/>
      </c>
      <c r="U118" s="24"/>
    </row>
    <row r="119" customFormat="false" ht="23.85" hidden="false" customHeight="false" outlineLevel="0" collapsed="false">
      <c r="A119" s="14" t="s">
        <v>304</v>
      </c>
      <c r="B119" s="15" t="s">
        <v>305</v>
      </c>
      <c r="C119" s="14" t="s">
        <v>306</v>
      </c>
      <c r="D119" s="14" t="s">
        <v>121</v>
      </c>
      <c r="E119" s="16"/>
      <c r="F119" s="16"/>
      <c r="G119" s="16"/>
      <c r="H119" s="16"/>
      <c r="I119" s="16" t="n">
        <v>1200</v>
      </c>
      <c r="J119" s="17" t="n">
        <f aca="false">IF(AND(A119="",B119=""),"",IF(SUM(E119:H119)&gt;0,SUM(E119:H119),I119))</f>
        <v>1200</v>
      </c>
      <c r="K119" s="17" t="n">
        <f aca="false">IF(J119="","",ROUND(IF(SUM(E119:H119)&gt;0,E119*(1+Config!$C$4)+F119*(1+Config!$C$5)+G119*(1+Config!$C$6)+H119*(1+Config!$C$7),I119*(1+Config!$C$8)),2))</f>
        <v>1224</v>
      </c>
      <c r="L119" s="18"/>
      <c r="M119" s="19" t="n">
        <f aca="false">IF(J119="","",IF(L119="",Config!$C$3,L119))</f>
        <v>0.2</v>
      </c>
      <c r="N119" s="20" t="n">
        <f aca="false">IF(K119="","",ROUND(K119*(1+M119),2))</f>
        <v>1468.8</v>
      </c>
      <c r="O119" s="21" t="s">
        <v>70</v>
      </c>
      <c r="P119" s="21"/>
      <c r="Q119" s="22" t="s">
        <v>71</v>
      </c>
      <c r="R119" s="22" t="s">
        <v>16</v>
      </c>
      <c r="S119" s="23" t="n">
        <f aca="false">IF(A119="","",COUNTIF(Registo!$B$2:$B$501,A119))</f>
        <v>0</v>
      </c>
      <c r="T119" s="17" t="str">
        <f aca="false">IF(OR(A119="",S119=0),"",LOOKUP(2,1/(Registo!$B$2:$B$501=A119),Registo!$E$2:$E$501))</f>
        <v/>
      </c>
      <c r="U119" s="24"/>
    </row>
    <row r="120" customFormat="false" ht="23.85" hidden="false" customHeight="false" outlineLevel="0" collapsed="false">
      <c r="A120" s="14" t="s">
        <v>307</v>
      </c>
      <c r="B120" s="15" t="s">
        <v>308</v>
      </c>
      <c r="C120" s="14" t="s">
        <v>306</v>
      </c>
      <c r="D120" s="14" t="s">
        <v>121</v>
      </c>
      <c r="E120" s="16"/>
      <c r="F120" s="16"/>
      <c r="G120" s="16"/>
      <c r="H120" s="16"/>
      <c r="I120" s="16" t="n">
        <v>1450</v>
      </c>
      <c r="J120" s="17" t="n">
        <f aca="false">IF(AND(A120="",B120=""),"",IF(SUM(E120:H120)&gt;0,SUM(E120:H120),I120))</f>
        <v>1450</v>
      </c>
      <c r="K120" s="17" t="n">
        <f aca="false">IF(J120="","",ROUND(IF(SUM(E120:H120)&gt;0,E120*(1+Config!$C$4)+F120*(1+Config!$C$5)+G120*(1+Config!$C$6)+H120*(1+Config!$C$7),I120*(1+Config!$C$8)),2))</f>
        <v>1479</v>
      </c>
      <c r="L120" s="18"/>
      <c r="M120" s="19" t="n">
        <f aca="false">IF(J120="","",IF(L120="",Config!$C$3,L120))</f>
        <v>0.2</v>
      </c>
      <c r="N120" s="20" t="n">
        <f aca="false">IF(K120="","",ROUND(K120*(1+M120),2))</f>
        <v>1774.8</v>
      </c>
      <c r="O120" s="21" t="s">
        <v>70</v>
      </c>
      <c r="P120" s="21"/>
      <c r="Q120" s="22" t="s">
        <v>71</v>
      </c>
      <c r="R120" s="22" t="s">
        <v>16</v>
      </c>
      <c r="S120" s="23" t="n">
        <f aca="false">IF(A120="","",COUNTIF(Registo!$B$2:$B$501,A120))</f>
        <v>0</v>
      </c>
      <c r="T120" s="17" t="str">
        <f aca="false">IF(OR(A120="",S120=0),"",LOOKUP(2,1/(Registo!$B$2:$B$501=A120),Registo!$E$2:$E$501))</f>
        <v/>
      </c>
      <c r="U120" s="24"/>
    </row>
    <row r="121" customFormat="false" ht="23.85" hidden="false" customHeight="false" outlineLevel="0" collapsed="false">
      <c r="A121" s="14" t="s">
        <v>309</v>
      </c>
      <c r="B121" s="15" t="s">
        <v>310</v>
      </c>
      <c r="C121" s="14" t="s">
        <v>306</v>
      </c>
      <c r="D121" s="14" t="s">
        <v>121</v>
      </c>
      <c r="E121" s="16"/>
      <c r="F121" s="16"/>
      <c r="G121" s="16"/>
      <c r="H121" s="16"/>
      <c r="I121" s="16" t="n">
        <v>1850</v>
      </c>
      <c r="J121" s="17" t="n">
        <f aca="false">IF(AND(A121="",B121=""),"",IF(SUM(E121:H121)&gt;0,SUM(E121:H121),I121))</f>
        <v>1850</v>
      </c>
      <c r="K121" s="17" t="n">
        <f aca="false">IF(J121="","",ROUND(IF(SUM(E121:H121)&gt;0,E121*(1+Config!$C$4)+F121*(1+Config!$C$5)+G121*(1+Config!$C$6)+H121*(1+Config!$C$7),I121*(1+Config!$C$8)),2))</f>
        <v>1887</v>
      </c>
      <c r="L121" s="18"/>
      <c r="M121" s="19" t="n">
        <f aca="false">IF(J121="","",IF(L121="",Config!$C$3,L121))</f>
        <v>0.2</v>
      </c>
      <c r="N121" s="20" t="n">
        <f aca="false">IF(K121="","",ROUND(K121*(1+M121),2))</f>
        <v>2264.4</v>
      </c>
      <c r="O121" s="21" t="s">
        <v>70</v>
      </c>
      <c r="P121" s="21"/>
      <c r="Q121" s="22" t="s">
        <v>71</v>
      </c>
      <c r="R121" s="22" t="s">
        <v>16</v>
      </c>
      <c r="S121" s="23" t="n">
        <f aca="false">IF(A121="","",COUNTIF(Registo!$B$2:$B$501,A121))</f>
        <v>0</v>
      </c>
      <c r="T121" s="17" t="str">
        <f aca="false">IF(OR(A121="",S121=0),"",LOOKUP(2,1/(Registo!$B$2:$B$501=A121),Registo!$E$2:$E$501))</f>
        <v/>
      </c>
      <c r="U121" s="24"/>
    </row>
    <row r="122" customFormat="false" ht="23.85" hidden="false" customHeight="false" outlineLevel="0" collapsed="false">
      <c r="A122" s="14" t="s">
        <v>311</v>
      </c>
      <c r="B122" s="15" t="s">
        <v>312</v>
      </c>
      <c r="C122" s="14" t="s">
        <v>306</v>
      </c>
      <c r="D122" s="14" t="s">
        <v>121</v>
      </c>
      <c r="E122" s="16"/>
      <c r="F122" s="16"/>
      <c r="G122" s="16"/>
      <c r="H122" s="16"/>
      <c r="I122" s="16" t="n">
        <v>3200</v>
      </c>
      <c r="J122" s="17" t="n">
        <f aca="false">IF(AND(A122="",B122=""),"",IF(SUM(E122:H122)&gt;0,SUM(E122:H122),I122))</f>
        <v>3200</v>
      </c>
      <c r="K122" s="17" t="n">
        <f aca="false">IF(J122="","",ROUND(IF(SUM(E122:H122)&gt;0,E122*(1+Config!$C$4)+F122*(1+Config!$C$5)+G122*(1+Config!$C$6)+H122*(1+Config!$C$7),I122*(1+Config!$C$8)),2))</f>
        <v>3264</v>
      </c>
      <c r="L122" s="18"/>
      <c r="M122" s="19" t="n">
        <f aca="false">IF(J122="","",IF(L122="",Config!$C$3,L122))</f>
        <v>0.2</v>
      </c>
      <c r="N122" s="20" t="n">
        <f aca="false">IF(K122="","",ROUND(K122*(1+M122),2))</f>
        <v>3916.8</v>
      </c>
      <c r="O122" s="21" t="s">
        <v>70</v>
      </c>
      <c r="P122" s="21"/>
      <c r="Q122" s="22" t="s">
        <v>71</v>
      </c>
      <c r="R122" s="22" t="s">
        <v>16</v>
      </c>
      <c r="S122" s="23" t="n">
        <f aca="false">IF(A122="","",COUNTIF(Registo!$B$2:$B$501,A122))</f>
        <v>0</v>
      </c>
      <c r="T122" s="17" t="str">
        <f aca="false">IF(OR(A122="",S122=0),"",LOOKUP(2,1/(Registo!$B$2:$B$501=A122),Registo!$E$2:$E$501))</f>
        <v/>
      </c>
      <c r="U122" s="24"/>
    </row>
    <row r="123" customFormat="false" ht="23.85" hidden="false" customHeight="false" outlineLevel="0" collapsed="false">
      <c r="A123" s="14" t="s">
        <v>313</v>
      </c>
      <c r="B123" s="15" t="s">
        <v>314</v>
      </c>
      <c r="C123" s="14" t="s">
        <v>306</v>
      </c>
      <c r="D123" s="14" t="s">
        <v>315</v>
      </c>
      <c r="E123" s="16"/>
      <c r="F123" s="16"/>
      <c r="G123" s="16"/>
      <c r="H123" s="16"/>
      <c r="I123" s="16" t="n">
        <v>480</v>
      </c>
      <c r="J123" s="17" t="n">
        <f aca="false">IF(AND(A123="",B123=""),"",IF(SUM(E123:H123)&gt;0,SUM(E123:H123),I123))</f>
        <v>480</v>
      </c>
      <c r="K123" s="17" t="n">
        <f aca="false">IF(J123="","",ROUND(IF(SUM(E123:H123)&gt;0,E123*(1+Config!$C$4)+F123*(1+Config!$C$5)+G123*(1+Config!$C$6)+H123*(1+Config!$C$7),I123*(1+Config!$C$8)),2))</f>
        <v>489.6</v>
      </c>
      <c r="L123" s="18"/>
      <c r="M123" s="19" t="n">
        <f aca="false">IF(J123="","",IF(L123="",Config!$C$3,L123))</f>
        <v>0.2</v>
      </c>
      <c r="N123" s="20" t="n">
        <f aca="false">IF(K123="","",ROUND(K123*(1+M123),2))</f>
        <v>587.52</v>
      </c>
      <c r="O123" s="21" t="s">
        <v>70</v>
      </c>
      <c r="P123" s="21"/>
      <c r="Q123" s="22" t="s">
        <v>71</v>
      </c>
      <c r="R123" s="22" t="s">
        <v>16</v>
      </c>
      <c r="S123" s="23" t="n">
        <f aca="false">IF(A123="","",COUNTIF(Registo!$B$2:$B$501,A123))</f>
        <v>0</v>
      </c>
      <c r="T123" s="17" t="str">
        <f aca="false">IF(OR(A123="",S123=0),"",LOOKUP(2,1/(Registo!$B$2:$B$501=A123),Registo!$E$2:$E$501))</f>
        <v/>
      </c>
      <c r="U123" s="24"/>
    </row>
    <row r="124" customFormat="false" ht="23.85" hidden="false" customHeight="false" outlineLevel="0" collapsed="false">
      <c r="A124" s="14" t="s">
        <v>316</v>
      </c>
      <c r="B124" s="15" t="s">
        <v>317</v>
      </c>
      <c r="C124" s="14" t="s">
        <v>306</v>
      </c>
      <c r="D124" s="14" t="s">
        <v>121</v>
      </c>
      <c r="E124" s="16"/>
      <c r="F124" s="16"/>
      <c r="G124" s="16"/>
      <c r="H124" s="16"/>
      <c r="I124" s="16" t="n">
        <v>950</v>
      </c>
      <c r="J124" s="17" t="n">
        <f aca="false">IF(AND(A124="",B124=""),"",IF(SUM(E124:H124)&gt;0,SUM(E124:H124),I124))</f>
        <v>950</v>
      </c>
      <c r="K124" s="17" t="n">
        <f aca="false">IF(J124="","",ROUND(IF(SUM(E124:H124)&gt;0,E124*(1+Config!$C$4)+F124*(1+Config!$C$5)+G124*(1+Config!$C$6)+H124*(1+Config!$C$7),I124*(1+Config!$C$8)),2))</f>
        <v>969</v>
      </c>
      <c r="L124" s="18"/>
      <c r="M124" s="19" t="n">
        <f aca="false">IF(J124="","",IF(L124="",Config!$C$3,L124))</f>
        <v>0.2</v>
      </c>
      <c r="N124" s="20" t="n">
        <f aca="false">IF(K124="","",ROUND(K124*(1+M124),2))</f>
        <v>1162.8</v>
      </c>
      <c r="O124" s="21" t="s">
        <v>70</v>
      </c>
      <c r="P124" s="21"/>
      <c r="Q124" s="22" t="s">
        <v>71</v>
      </c>
      <c r="R124" s="22" t="s">
        <v>16</v>
      </c>
      <c r="S124" s="23" t="n">
        <f aca="false">IF(A124="","",COUNTIF(Registo!$B$2:$B$501,A124))</f>
        <v>0</v>
      </c>
      <c r="T124" s="17" t="str">
        <f aca="false">IF(OR(A124="",S124=0),"",LOOKUP(2,1/(Registo!$B$2:$B$501=A124),Registo!$E$2:$E$501))</f>
        <v/>
      </c>
      <c r="U124" s="24"/>
    </row>
    <row r="125" customFormat="false" ht="23.85" hidden="false" customHeight="false" outlineLevel="0" collapsed="false">
      <c r="A125" s="14" t="s">
        <v>318</v>
      </c>
      <c r="B125" s="15" t="s">
        <v>319</v>
      </c>
      <c r="C125" s="14" t="s">
        <v>306</v>
      </c>
      <c r="D125" s="14" t="s">
        <v>121</v>
      </c>
      <c r="E125" s="16"/>
      <c r="F125" s="16"/>
      <c r="G125" s="16"/>
      <c r="H125" s="16"/>
      <c r="I125" s="16" t="n">
        <v>2800</v>
      </c>
      <c r="J125" s="17" t="n">
        <f aca="false">IF(AND(A125="",B125=""),"",IF(SUM(E125:H125)&gt;0,SUM(E125:H125),I125))</f>
        <v>2800</v>
      </c>
      <c r="K125" s="17" t="n">
        <f aca="false">IF(J125="","",ROUND(IF(SUM(E125:H125)&gt;0,E125*(1+Config!$C$4)+F125*(1+Config!$C$5)+G125*(1+Config!$C$6)+H125*(1+Config!$C$7),I125*(1+Config!$C$8)),2))</f>
        <v>2856</v>
      </c>
      <c r="L125" s="18"/>
      <c r="M125" s="19" t="n">
        <f aca="false">IF(J125="","",IF(L125="",Config!$C$3,L125))</f>
        <v>0.2</v>
      </c>
      <c r="N125" s="20" t="n">
        <f aca="false">IF(K125="","",ROUND(K125*(1+M125),2))</f>
        <v>3427.2</v>
      </c>
      <c r="O125" s="21" t="s">
        <v>70</v>
      </c>
      <c r="P125" s="21"/>
      <c r="Q125" s="22" t="s">
        <v>71</v>
      </c>
      <c r="R125" s="22" t="s">
        <v>16</v>
      </c>
      <c r="S125" s="23" t="n">
        <f aca="false">IF(A125="","",COUNTIF(Registo!$B$2:$B$501,A125))</f>
        <v>0</v>
      </c>
      <c r="T125" s="17" t="str">
        <f aca="false">IF(OR(A125="",S125=0),"",LOOKUP(2,1/(Registo!$B$2:$B$501=A125),Registo!$E$2:$E$501))</f>
        <v/>
      </c>
      <c r="U125" s="24"/>
    </row>
    <row r="126" customFormat="false" ht="23.85" hidden="false" customHeight="false" outlineLevel="0" collapsed="false">
      <c r="A126" s="14" t="s">
        <v>320</v>
      </c>
      <c r="B126" s="15" t="s">
        <v>321</v>
      </c>
      <c r="C126" s="14" t="s">
        <v>306</v>
      </c>
      <c r="D126" s="14" t="s">
        <v>69</v>
      </c>
      <c r="E126" s="16"/>
      <c r="F126" s="16"/>
      <c r="G126" s="16"/>
      <c r="H126" s="16"/>
      <c r="I126" s="16" t="n">
        <v>65</v>
      </c>
      <c r="J126" s="17" t="n">
        <f aca="false">IF(AND(A126="",B126=""),"",IF(SUM(E126:H126)&gt;0,SUM(E126:H126),I126))</f>
        <v>65</v>
      </c>
      <c r="K126" s="17" t="n">
        <f aca="false">IF(J126="","",ROUND(IF(SUM(E126:H126)&gt;0,E126*(1+Config!$C$4)+F126*(1+Config!$C$5)+G126*(1+Config!$C$6)+H126*(1+Config!$C$7),I126*(1+Config!$C$8)),2))</f>
        <v>66.3</v>
      </c>
      <c r="L126" s="18"/>
      <c r="M126" s="19" t="n">
        <f aca="false">IF(J126="","",IF(L126="",Config!$C$3,L126))</f>
        <v>0.2</v>
      </c>
      <c r="N126" s="20" t="n">
        <f aca="false">IF(K126="","",ROUND(K126*(1+M126),2))</f>
        <v>79.56</v>
      </c>
      <c r="O126" s="21" t="s">
        <v>70</v>
      </c>
      <c r="P126" s="21"/>
      <c r="Q126" s="22" t="s">
        <v>71</v>
      </c>
      <c r="R126" s="22" t="s">
        <v>16</v>
      </c>
      <c r="S126" s="23" t="n">
        <f aca="false">IF(A126="","",COUNTIF(Registo!$B$2:$B$501,A126))</f>
        <v>0</v>
      </c>
      <c r="T126" s="17" t="str">
        <f aca="false">IF(OR(A126="",S126=0),"",LOOKUP(2,1/(Registo!$B$2:$B$501=A126),Registo!$E$2:$E$501))</f>
        <v/>
      </c>
      <c r="U126" s="24"/>
    </row>
    <row r="127" customFormat="false" ht="23.85" hidden="false" customHeight="false" outlineLevel="0" collapsed="false">
      <c r="A127" s="14" t="s">
        <v>322</v>
      </c>
      <c r="B127" s="15" t="s">
        <v>323</v>
      </c>
      <c r="C127" s="14" t="s">
        <v>306</v>
      </c>
      <c r="D127" s="14" t="s">
        <v>69</v>
      </c>
      <c r="E127" s="16"/>
      <c r="F127" s="16"/>
      <c r="G127" s="16"/>
      <c r="H127" s="16"/>
      <c r="I127" s="16" t="n">
        <v>85</v>
      </c>
      <c r="J127" s="17" t="n">
        <f aca="false">IF(AND(A127="",B127=""),"",IF(SUM(E127:H127)&gt;0,SUM(E127:H127),I127))</f>
        <v>85</v>
      </c>
      <c r="K127" s="17" t="n">
        <f aca="false">IF(J127="","",ROUND(IF(SUM(E127:H127)&gt;0,E127*(1+Config!$C$4)+F127*(1+Config!$C$5)+G127*(1+Config!$C$6)+H127*(1+Config!$C$7),I127*(1+Config!$C$8)),2))</f>
        <v>86.7</v>
      </c>
      <c r="L127" s="18"/>
      <c r="M127" s="19" t="n">
        <f aca="false">IF(J127="","",IF(L127="",Config!$C$3,L127))</f>
        <v>0.2</v>
      </c>
      <c r="N127" s="20" t="n">
        <f aca="false">IF(K127="","",ROUND(K127*(1+M127),2))</f>
        <v>104.04</v>
      </c>
      <c r="O127" s="21" t="s">
        <v>70</v>
      </c>
      <c r="P127" s="21"/>
      <c r="Q127" s="22" t="s">
        <v>71</v>
      </c>
      <c r="R127" s="22" t="s">
        <v>16</v>
      </c>
      <c r="S127" s="23" t="n">
        <f aca="false">IF(A127="","",COUNTIF(Registo!$B$2:$B$501,A127))</f>
        <v>0</v>
      </c>
      <c r="T127" s="17" t="str">
        <f aca="false">IF(OR(A127="",S127=0),"",LOOKUP(2,1/(Registo!$B$2:$B$501=A127),Registo!$E$2:$E$501))</f>
        <v/>
      </c>
      <c r="U127" s="24"/>
    </row>
    <row r="128" customFormat="false" ht="23.85" hidden="false" customHeight="false" outlineLevel="0" collapsed="false">
      <c r="A128" s="14" t="s">
        <v>324</v>
      </c>
      <c r="B128" s="15" t="s">
        <v>325</v>
      </c>
      <c r="C128" s="14" t="s">
        <v>326</v>
      </c>
      <c r="D128" s="14" t="s">
        <v>121</v>
      </c>
      <c r="E128" s="16"/>
      <c r="F128" s="16"/>
      <c r="G128" s="16"/>
      <c r="H128" s="16"/>
      <c r="I128" s="16" t="n">
        <v>680</v>
      </c>
      <c r="J128" s="17" t="n">
        <f aca="false">IF(AND(A128="",B128=""),"",IF(SUM(E128:H128)&gt;0,SUM(E128:H128),I128))</f>
        <v>680</v>
      </c>
      <c r="K128" s="17" t="n">
        <f aca="false">IF(J128="","",ROUND(IF(SUM(E128:H128)&gt;0,E128*(1+Config!$C$4)+F128*(1+Config!$C$5)+G128*(1+Config!$C$6)+H128*(1+Config!$C$7),I128*(1+Config!$C$8)),2))</f>
        <v>693.6</v>
      </c>
      <c r="L128" s="18"/>
      <c r="M128" s="19" t="n">
        <f aca="false">IF(J128="","",IF(L128="",Config!$C$3,L128))</f>
        <v>0.2</v>
      </c>
      <c r="N128" s="20" t="n">
        <f aca="false">IF(K128="","",ROUND(K128*(1+M128),2))</f>
        <v>832.32</v>
      </c>
      <c r="O128" s="21" t="s">
        <v>70</v>
      </c>
      <c r="P128" s="21"/>
      <c r="Q128" s="22" t="s">
        <v>71</v>
      </c>
      <c r="R128" s="22" t="s">
        <v>16</v>
      </c>
      <c r="S128" s="23" t="n">
        <f aca="false">IF(A128="","",COUNTIF(Registo!$B$2:$B$501,A128))</f>
        <v>0</v>
      </c>
      <c r="T128" s="17" t="str">
        <f aca="false">IF(OR(A128="",S128=0),"",LOOKUP(2,1/(Registo!$B$2:$B$501=A128),Registo!$E$2:$E$501))</f>
        <v/>
      </c>
      <c r="U128" s="24"/>
    </row>
    <row r="129" customFormat="false" ht="23.85" hidden="false" customHeight="false" outlineLevel="0" collapsed="false">
      <c r="A129" s="14" t="s">
        <v>327</v>
      </c>
      <c r="B129" s="15" t="s">
        <v>328</v>
      </c>
      <c r="C129" s="14" t="s">
        <v>326</v>
      </c>
      <c r="D129" s="14" t="s">
        <v>104</v>
      </c>
      <c r="E129" s="16"/>
      <c r="F129" s="16"/>
      <c r="G129" s="16"/>
      <c r="H129" s="16"/>
      <c r="I129" s="16" t="n">
        <v>18</v>
      </c>
      <c r="J129" s="17" t="n">
        <f aca="false">IF(AND(A129="",B129=""),"",IF(SUM(E129:H129)&gt;0,SUM(E129:H129),I129))</f>
        <v>18</v>
      </c>
      <c r="K129" s="17" t="n">
        <f aca="false">IF(J129="","",ROUND(IF(SUM(E129:H129)&gt;0,E129*(1+Config!$C$4)+F129*(1+Config!$C$5)+G129*(1+Config!$C$6)+H129*(1+Config!$C$7),I129*(1+Config!$C$8)),2))</f>
        <v>18.36</v>
      </c>
      <c r="L129" s="18"/>
      <c r="M129" s="19" t="n">
        <f aca="false">IF(J129="","",IF(L129="",Config!$C$3,L129))</f>
        <v>0.2</v>
      </c>
      <c r="N129" s="20" t="n">
        <f aca="false">IF(K129="","",ROUND(K129*(1+M129),2))</f>
        <v>22.03</v>
      </c>
      <c r="O129" s="21" t="s">
        <v>70</v>
      </c>
      <c r="P129" s="21"/>
      <c r="Q129" s="22" t="s">
        <v>71</v>
      </c>
      <c r="R129" s="22" t="s">
        <v>16</v>
      </c>
      <c r="S129" s="23" t="n">
        <f aca="false">IF(A129="","",COUNTIF(Registo!$B$2:$B$501,A129))</f>
        <v>0</v>
      </c>
      <c r="T129" s="17" t="str">
        <f aca="false">IF(OR(A129="",S129=0),"",LOOKUP(2,1/(Registo!$B$2:$B$501=A129),Registo!$E$2:$E$501))</f>
        <v/>
      </c>
      <c r="U129" s="24"/>
    </row>
    <row r="130" customFormat="false" ht="23.85" hidden="false" customHeight="false" outlineLevel="0" collapsed="false">
      <c r="A130" s="14" t="s">
        <v>329</v>
      </c>
      <c r="B130" s="15" t="s">
        <v>330</v>
      </c>
      <c r="C130" s="14" t="s">
        <v>326</v>
      </c>
      <c r="D130" s="14" t="s">
        <v>104</v>
      </c>
      <c r="E130" s="16"/>
      <c r="F130" s="16"/>
      <c r="G130" s="16"/>
      <c r="H130" s="16"/>
      <c r="I130" s="16" t="n">
        <v>22</v>
      </c>
      <c r="J130" s="17" t="n">
        <f aca="false">IF(AND(A130="",B130=""),"",IF(SUM(E130:H130)&gt;0,SUM(E130:H130),I130))</f>
        <v>22</v>
      </c>
      <c r="K130" s="17" t="n">
        <f aca="false">IF(J130="","",ROUND(IF(SUM(E130:H130)&gt;0,E130*(1+Config!$C$4)+F130*(1+Config!$C$5)+G130*(1+Config!$C$6)+H130*(1+Config!$C$7),I130*(1+Config!$C$8)),2))</f>
        <v>22.44</v>
      </c>
      <c r="L130" s="18"/>
      <c r="M130" s="19" t="n">
        <f aca="false">IF(J130="","",IF(L130="",Config!$C$3,L130))</f>
        <v>0.2</v>
      </c>
      <c r="N130" s="20" t="n">
        <f aca="false">IF(K130="","",ROUND(K130*(1+M130),2))</f>
        <v>26.93</v>
      </c>
      <c r="O130" s="21" t="s">
        <v>70</v>
      </c>
      <c r="P130" s="21"/>
      <c r="Q130" s="22" t="s">
        <v>71</v>
      </c>
      <c r="R130" s="22" t="s">
        <v>16</v>
      </c>
      <c r="S130" s="23" t="n">
        <f aca="false">IF(A130="","",COUNTIF(Registo!$B$2:$B$501,A130))</f>
        <v>0</v>
      </c>
      <c r="T130" s="17" t="str">
        <f aca="false">IF(OR(A130="",S130=0),"",LOOKUP(2,1/(Registo!$B$2:$B$501=A130),Registo!$E$2:$E$501))</f>
        <v/>
      </c>
      <c r="U130" s="24"/>
    </row>
    <row r="131" customFormat="false" ht="23.85" hidden="false" customHeight="false" outlineLevel="0" collapsed="false">
      <c r="A131" s="14" t="s">
        <v>331</v>
      </c>
      <c r="B131" s="15" t="s">
        <v>332</v>
      </c>
      <c r="C131" s="14" t="s">
        <v>326</v>
      </c>
      <c r="D131" s="14" t="s">
        <v>121</v>
      </c>
      <c r="E131" s="16"/>
      <c r="F131" s="16"/>
      <c r="G131" s="16"/>
      <c r="H131" s="16"/>
      <c r="I131" s="16" t="n">
        <v>1800</v>
      </c>
      <c r="J131" s="17" t="n">
        <f aca="false">IF(AND(A131="",B131=""),"",IF(SUM(E131:H131)&gt;0,SUM(E131:H131),I131))</f>
        <v>1800</v>
      </c>
      <c r="K131" s="17" t="n">
        <f aca="false">IF(J131="","",ROUND(IF(SUM(E131:H131)&gt;0,E131*(1+Config!$C$4)+F131*(1+Config!$C$5)+G131*(1+Config!$C$6)+H131*(1+Config!$C$7),I131*(1+Config!$C$8)),2))</f>
        <v>1836</v>
      </c>
      <c r="L131" s="18"/>
      <c r="M131" s="19" t="n">
        <f aca="false">IF(J131="","",IF(L131="",Config!$C$3,L131))</f>
        <v>0.2</v>
      </c>
      <c r="N131" s="20" t="n">
        <f aca="false">IF(K131="","",ROUND(K131*(1+M131),2))</f>
        <v>2203.2</v>
      </c>
      <c r="O131" s="21" t="s">
        <v>70</v>
      </c>
      <c r="P131" s="21"/>
      <c r="Q131" s="22" t="s">
        <v>71</v>
      </c>
      <c r="R131" s="22" t="s">
        <v>16</v>
      </c>
      <c r="S131" s="23" t="n">
        <f aca="false">IF(A131="","",COUNTIF(Registo!$B$2:$B$501,A131))</f>
        <v>0</v>
      </c>
      <c r="T131" s="17" t="str">
        <f aca="false">IF(OR(A131="",S131=0),"",LOOKUP(2,1/(Registo!$B$2:$B$501=A131),Registo!$E$2:$E$501))</f>
        <v/>
      </c>
      <c r="U131" s="24"/>
    </row>
    <row r="132" customFormat="false" ht="23.85" hidden="false" customHeight="false" outlineLevel="0" collapsed="false">
      <c r="A132" s="14" t="s">
        <v>333</v>
      </c>
      <c r="B132" s="15" t="s">
        <v>334</v>
      </c>
      <c r="C132" s="14" t="s">
        <v>326</v>
      </c>
      <c r="D132" s="14" t="s">
        <v>121</v>
      </c>
      <c r="E132" s="16"/>
      <c r="F132" s="16"/>
      <c r="G132" s="16"/>
      <c r="H132" s="16"/>
      <c r="I132" s="16" t="n">
        <v>2400</v>
      </c>
      <c r="J132" s="17" t="n">
        <f aca="false">IF(AND(A132="",B132=""),"",IF(SUM(E132:H132)&gt;0,SUM(E132:H132),I132))</f>
        <v>2400</v>
      </c>
      <c r="K132" s="17" t="n">
        <f aca="false">IF(J132="","",ROUND(IF(SUM(E132:H132)&gt;0,E132*(1+Config!$C$4)+F132*(1+Config!$C$5)+G132*(1+Config!$C$6)+H132*(1+Config!$C$7),I132*(1+Config!$C$8)),2))</f>
        <v>2448</v>
      </c>
      <c r="L132" s="18"/>
      <c r="M132" s="19" t="n">
        <f aca="false">IF(J132="","",IF(L132="",Config!$C$3,L132))</f>
        <v>0.2</v>
      </c>
      <c r="N132" s="20" t="n">
        <f aca="false">IF(K132="","",ROUND(K132*(1+M132),2))</f>
        <v>2937.6</v>
      </c>
      <c r="O132" s="21" t="s">
        <v>70</v>
      </c>
      <c r="P132" s="21"/>
      <c r="Q132" s="22" t="s">
        <v>71</v>
      </c>
      <c r="R132" s="22" t="s">
        <v>16</v>
      </c>
      <c r="S132" s="23" t="n">
        <f aca="false">IF(A132="","",COUNTIF(Registo!$B$2:$B$501,A132))</f>
        <v>0</v>
      </c>
      <c r="T132" s="17" t="str">
        <f aca="false">IF(OR(A132="",S132=0),"",LOOKUP(2,1/(Registo!$B$2:$B$501=A132),Registo!$E$2:$E$501))</f>
        <v/>
      </c>
      <c r="U132" s="24"/>
    </row>
    <row r="133" customFormat="false" ht="23.85" hidden="false" customHeight="false" outlineLevel="0" collapsed="false">
      <c r="A133" s="14" t="s">
        <v>335</v>
      </c>
      <c r="B133" s="15" t="s">
        <v>336</v>
      </c>
      <c r="C133" s="14" t="s">
        <v>326</v>
      </c>
      <c r="D133" s="14" t="s">
        <v>121</v>
      </c>
      <c r="E133" s="16"/>
      <c r="F133" s="16"/>
      <c r="G133" s="16"/>
      <c r="H133" s="16"/>
      <c r="I133" s="16" t="n">
        <v>3200</v>
      </c>
      <c r="J133" s="17" t="n">
        <f aca="false">IF(AND(A133="",B133=""),"",IF(SUM(E133:H133)&gt;0,SUM(E133:H133),I133))</f>
        <v>3200</v>
      </c>
      <c r="K133" s="17" t="n">
        <f aca="false">IF(J133="","",ROUND(IF(SUM(E133:H133)&gt;0,E133*(1+Config!$C$4)+F133*(1+Config!$C$5)+G133*(1+Config!$C$6)+H133*(1+Config!$C$7),I133*(1+Config!$C$8)),2))</f>
        <v>3264</v>
      </c>
      <c r="L133" s="18"/>
      <c r="M133" s="19" t="n">
        <f aca="false">IF(J133="","",IF(L133="",Config!$C$3,L133))</f>
        <v>0.2</v>
      </c>
      <c r="N133" s="20" t="n">
        <f aca="false">IF(K133="","",ROUND(K133*(1+M133),2))</f>
        <v>3916.8</v>
      </c>
      <c r="O133" s="21" t="s">
        <v>70</v>
      </c>
      <c r="P133" s="21"/>
      <c r="Q133" s="22" t="s">
        <v>71</v>
      </c>
      <c r="R133" s="22" t="s">
        <v>16</v>
      </c>
      <c r="S133" s="23" t="n">
        <f aca="false">IF(A133="","",COUNTIF(Registo!$B$2:$B$501,A133))</f>
        <v>0</v>
      </c>
      <c r="T133" s="17" t="str">
        <f aca="false">IF(OR(A133="",S133=0),"",LOOKUP(2,1/(Registo!$B$2:$B$501=A133),Registo!$E$2:$E$501))</f>
        <v/>
      </c>
      <c r="U133" s="24"/>
    </row>
    <row r="134" customFormat="false" ht="23.85" hidden="false" customHeight="false" outlineLevel="0" collapsed="false">
      <c r="A134" s="14" t="s">
        <v>337</v>
      </c>
      <c r="B134" s="15" t="s">
        <v>338</v>
      </c>
      <c r="C134" s="14" t="s">
        <v>339</v>
      </c>
      <c r="D134" s="14" t="s">
        <v>121</v>
      </c>
      <c r="E134" s="16"/>
      <c r="F134" s="16"/>
      <c r="G134" s="16"/>
      <c r="H134" s="16"/>
      <c r="I134" s="16" t="n">
        <v>85</v>
      </c>
      <c r="J134" s="17" t="n">
        <f aca="false">IF(AND(A134="",B134=""),"",IF(SUM(E134:H134)&gt;0,SUM(E134:H134),I134))</f>
        <v>85</v>
      </c>
      <c r="K134" s="17" t="n">
        <f aca="false">IF(J134="","",ROUND(IF(SUM(E134:H134)&gt;0,E134*(1+Config!$C$4)+F134*(1+Config!$C$5)+G134*(1+Config!$C$6)+H134*(1+Config!$C$7),I134*(1+Config!$C$8)),2))</f>
        <v>86.7</v>
      </c>
      <c r="L134" s="18"/>
      <c r="M134" s="19" t="n">
        <f aca="false">IF(J134="","",IF(L134="",Config!$C$3,L134))</f>
        <v>0.2</v>
      </c>
      <c r="N134" s="20" t="n">
        <f aca="false">IF(K134="","",ROUND(K134*(1+M134),2))</f>
        <v>104.04</v>
      </c>
      <c r="O134" s="21" t="s">
        <v>70</v>
      </c>
      <c r="P134" s="21"/>
      <c r="Q134" s="22" t="s">
        <v>71</v>
      </c>
      <c r="R134" s="22" t="s">
        <v>16</v>
      </c>
      <c r="S134" s="23" t="n">
        <f aca="false">IF(A134="","",COUNTIF(Registo!$B$2:$B$501,A134))</f>
        <v>0</v>
      </c>
      <c r="T134" s="17" t="str">
        <f aca="false">IF(OR(A134="",S134=0),"",LOOKUP(2,1/(Registo!$B$2:$B$501=A134),Registo!$E$2:$E$501))</f>
        <v/>
      </c>
      <c r="U134" s="24"/>
    </row>
    <row r="135" customFormat="false" ht="23.85" hidden="false" customHeight="false" outlineLevel="0" collapsed="false">
      <c r="A135" s="14" t="s">
        <v>340</v>
      </c>
      <c r="B135" s="15" t="s">
        <v>341</v>
      </c>
      <c r="C135" s="14" t="s">
        <v>339</v>
      </c>
      <c r="D135" s="14" t="s">
        <v>121</v>
      </c>
      <c r="E135" s="16"/>
      <c r="F135" s="16"/>
      <c r="G135" s="16"/>
      <c r="H135" s="16"/>
      <c r="I135" s="16" t="n">
        <v>120</v>
      </c>
      <c r="J135" s="17" t="n">
        <f aca="false">IF(AND(A135="",B135=""),"",IF(SUM(E135:H135)&gt;0,SUM(E135:H135),I135))</f>
        <v>120</v>
      </c>
      <c r="K135" s="17" t="n">
        <f aca="false">IF(J135="","",ROUND(IF(SUM(E135:H135)&gt;0,E135*(1+Config!$C$4)+F135*(1+Config!$C$5)+G135*(1+Config!$C$6)+H135*(1+Config!$C$7),I135*(1+Config!$C$8)),2))</f>
        <v>122.4</v>
      </c>
      <c r="L135" s="18"/>
      <c r="M135" s="19" t="n">
        <f aca="false">IF(J135="","",IF(L135="",Config!$C$3,L135))</f>
        <v>0.2</v>
      </c>
      <c r="N135" s="20" t="n">
        <f aca="false">IF(K135="","",ROUND(K135*(1+M135),2))</f>
        <v>146.88</v>
      </c>
      <c r="O135" s="21" t="s">
        <v>70</v>
      </c>
      <c r="P135" s="21"/>
      <c r="Q135" s="22" t="s">
        <v>71</v>
      </c>
      <c r="R135" s="22" t="s">
        <v>16</v>
      </c>
      <c r="S135" s="23" t="n">
        <f aca="false">IF(A135="","",COUNTIF(Registo!$B$2:$B$501,A135))</f>
        <v>0</v>
      </c>
      <c r="T135" s="17" t="str">
        <f aca="false">IF(OR(A135="",S135=0),"",LOOKUP(2,1/(Registo!$B$2:$B$501=A135),Registo!$E$2:$E$501))</f>
        <v/>
      </c>
      <c r="U135" s="24"/>
    </row>
    <row r="136" customFormat="false" ht="23.85" hidden="false" customHeight="false" outlineLevel="0" collapsed="false">
      <c r="A136" s="14" t="s">
        <v>342</v>
      </c>
      <c r="B136" s="15" t="s">
        <v>343</v>
      </c>
      <c r="C136" s="14" t="s">
        <v>339</v>
      </c>
      <c r="D136" s="14" t="s">
        <v>121</v>
      </c>
      <c r="E136" s="16"/>
      <c r="F136" s="16"/>
      <c r="G136" s="16"/>
      <c r="H136" s="16"/>
      <c r="I136" s="16" t="n">
        <v>1800</v>
      </c>
      <c r="J136" s="17" t="n">
        <f aca="false">IF(AND(A136="",B136=""),"",IF(SUM(E136:H136)&gt;0,SUM(E136:H136),I136))</f>
        <v>1800</v>
      </c>
      <c r="K136" s="17" t="n">
        <f aca="false">IF(J136="","",ROUND(IF(SUM(E136:H136)&gt;0,E136*(1+Config!$C$4)+F136*(1+Config!$C$5)+G136*(1+Config!$C$6)+H136*(1+Config!$C$7),I136*(1+Config!$C$8)),2))</f>
        <v>1836</v>
      </c>
      <c r="L136" s="18"/>
      <c r="M136" s="19" t="n">
        <f aca="false">IF(J136="","",IF(L136="",Config!$C$3,L136))</f>
        <v>0.2</v>
      </c>
      <c r="N136" s="20" t="n">
        <f aca="false">IF(K136="","",ROUND(K136*(1+M136),2))</f>
        <v>2203.2</v>
      </c>
      <c r="O136" s="21" t="s">
        <v>70</v>
      </c>
      <c r="P136" s="21"/>
      <c r="Q136" s="22" t="s">
        <v>71</v>
      </c>
      <c r="R136" s="22" t="s">
        <v>16</v>
      </c>
      <c r="S136" s="23" t="n">
        <f aca="false">IF(A136="","",COUNTIF(Registo!$B$2:$B$501,A136))</f>
        <v>0</v>
      </c>
      <c r="T136" s="17" t="str">
        <f aca="false">IF(OR(A136="",S136=0),"",LOOKUP(2,1/(Registo!$B$2:$B$501=A136),Registo!$E$2:$E$501))</f>
        <v/>
      </c>
      <c r="U136" s="24"/>
    </row>
    <row r="137" customFormat="false" ht="23.85" hidden="false" customHeight="false" outlineLevel="0" collapsed="false">
      <c r="A137" s="14" t="s">
        <v>344</v>
      </c>
      <c r="B137" s="15" t="s">
        <v>345</v>
      </c>
      <c r="C137" s="14" t="s">
        <v>339</v>
      </c>
      <c r="D137" s="14" t="s">
        <v>121</v>
      </c>
      <c r="E137" s="16"/>
      <c r="F137" s="16"/>
      <c r="G137" s="16"/>
      <c r="H137" s="16"/>
      <c r="I137" s="16" t="n">
        <v>65</v>
      </c>
      <c r="J137" s="17" t="n">
        <f aca="false">IF(AND(A137="",B137=""),"",IF(SUM(E137:H137)&gt;0,SUM(E137:H137),I137))</f>
        <v>65</v>
      </c>
      <c r="K137" s="17" t="n">
        <f aca="false">IF(J137="","",ROUND(IF(SUM(E137:H137)&gt;0,E137*(1+Config!$C$4)+F137*(1+Config!$C$5)+G137*(1+Config!$C$6)+H137*(1+Config!$C$7),I137*(1+Config!$C$8)),2))</f>
        <v>66.3</v>
      </c>
      <c r="L137" s="18"/>
      <c r="M137" s="19" t="n">
        <f aca="false">IF(J137="","",IF(L137="",Config!$C$3,L137))</f>
        <v>0.2</v>
      </c>
      <c r="N137" s="20" t="n">
        <f aca="false">IF(K137="","",ROUND(K137*(1+M137),2))</f>
        <v>79.56</v>
      </c>
      <c r="O137" s="21" t="s">
        <v>70</v>
      </c>
      <c r="P137" s="21"/>
      <c r="Q137" s="22" t="s">
        <v>71</v>
      </c>
      <c r="R137" s="22" t="s">
        <v>16</v>
      </c>
      <c r="S137" s="23" t="n">
        <f aca="false">IF(A137="","",COUNTIF(Registo!$B$2:$B$501,A137))</f>
        <v>0</v>
      </c>
      <c r="T137" s="17" t="str">
        <f aca="false">IF(OR(A137="",S137=0),"",LOOKUP(2,1/(Registo!$B$2:$B$501=A137),Registo!$E$2:$E$501))</f>
        <v/>
      </c>
      <c r="U137" s="24"/>
    </row>
    <row r="138" customFormat="false" ht="23.85" hidden="false" customHeight="false" outlineLevel="0" collapsed="false">
      <c r="A138" s="14" t="s">
        <v>346</v>
      </c>
      <c r="B138" s="15" t="s">
        <v>347</v>
      </c>
      <c r="C138" s="14" t="s">
        <v>339</v>
      </c>
      <c r="D138" s="14" t="s">
        <v>121</v>
      </c>
      <c r="E138" s="16"/>
      <c r="F138" s="16"/>
      <c r="G138" s="16"/>
      <c r="H138" s="16"/>
      <c r="I138" s="16" t="n">
        <v>480</v>
      </c>
      <c r="J138" s="17" t="n">
        <f aca="false">IF(AND(A138="",B138=""),"",IF(SUM(E138:H138)&gt;0,SUM(E138:H138),I138))</f>
        <v>480</v>
      </c>
      <c r="K138" s="17" t="n">
        <f aca="false">IF(J138="","",ROUND(IF(SUM(E138:H138)&gt;0,E138*(1+Config!$C$4)+F138*(1+Config!$C$5)+G138*(1+Config!$C$6)+H138*(1+Config!$C$7),I138*(1+Config!$C$8)),2))</f>
        <v>489.6</v>
      </c>
      <c r="L138" s="18"/>
      <c r="M138" s="19" t="n">
        <f aca="false">IF(J138="","",IF(L138="",Config!$C$3,L138))</f>
        <v>0.2</v>
      </c>
      <c r="N138" s="20" t="n">
        <f aca="false">IF(K138="","",ROUND(K138*(1+M138),2))</f>
        <v>587.52</v>
      </c>
      <c r="O138" s="21" t="s">
        <v>70</v>
      </c>
      <c r="P138" s="21"/>
      <c r="Q138" s="22" t="s">
        <v>71</v>
      </c>
      <c r="R138" s="22" t="s">
        <v>16</v>
      </c>
      <c r="S138" s="23" t="n">
        <f aca="false">IF(A138="","",COUNTIF(Registo!$B$2:$B$501,A138))</f>
        <v>0</v>
      </c>
      <c r="T138" s="17" t="str">
        <f aca="false">IF(OR(A138="",S138=0),"",LOOKUP(2,1/(Registo!$B$2:$B$501=A138),Registo!$E$2:$E$501))</f>
        <v/>
      </c>
      <c r="U138" s="24"/>
    </row>
    <row r="139" customFormat="false" ht="23.85" hidden="false" customHeight="false" outlineLevel="0" collapsed="false">
      <c r="A139" s="14" t="s">
        <v>348</v>
      </c>
      <c r="B139" s="15" t="s">
        <v>349</v>
      </c>
      <c r="C139" s="14" t="s">
        <v>339</v>
      </c>
      <c r="D139" s="14" t="s">
        <v>121</v>
      </c>
      <c r="E139" s="16"/>
      <c r="F139" s="16"/>
      <c r="G139" s="16"/>
      <c r="H139" s="16"/>
      <c r="I139" s="16" t="n">
        <v>120</v>
      </c>
      <c r="J139" s="17" t="n">
        <f aca="false">IF(AND(A139="",B139=""),"",IF(SUM(E139:H139)&gt;0,SUM(E139:H139),I139))</f>
        <v>120</v>
      </c>
      <c r="K139" s="17" t="n">
        <f aca="false">IF(J139="","",ROUND(IF(SUM(E139:H139)&gt;0,E139*(1+Config!$C$4)+F139*(1+Config!$C$5)+G139*(1+Config!$C$6)+H139*(1+Config!$C$7),I139*(1+Config!$C$8)),2))</f>
        <v>122.4</v>
      </c>
      <c r="L139" s="18"/>
      <c r="M139" s="19" t="n">
        <f aca="false">IF(J139="","",IF(L139="",Config!$C$3,L139))</f>
        <v>0.2</v>
      </c>
      <c r="N139" s="20" t="n">
        <f aca="false">IF(K139="","",ROUND(K139*(1+M139),2))</f>
        <v>146.88</v>
      </c>
      <c r="O139" s="21" t="s">
        <v>70</v>
      </c>
      <c r="P139" s="21"/>
      <c r="Q139" s="22" t="s">
        <v>71</v>
      </c>
      <c r="R139" s="22" t="s">
        <v>16</v>
      </c>
      <c r="S139" s="23" t="n">
        <f aca="false">IF(A139="","",COUNTIF(Registo!$B$2:$B$501,A139))</f>
        <v>0</v>
      </c>
      <c r="T139" s="17" t="str">
        <f aca="false">IF(OR(A139="",S139=0),"",LOOKUP(2,1/(Registo!$B$2:$B$501=A139),Registo!$E$2:$E$501))</f>
        <v/>
      </c>
      <c r="U139" s="24"/>
    </row>
    <row r="140" customFormat="false" ht="23.85" hidden="false" customHeight="false" outlineLevel="0" collapsed="false">
      <c r="A140" s="14" t="s">
        <v>350</v>
      </c>
      <c r="B140" s="15" t="s">
        <v>351</v>
      </c>
      <c r="C140" s="14" t="s">
        <v>352</v>
      </c>
      <c r="D140" s="14" t="s">
        <v>69</v>
      </c>
      <c r="E140" s="16"/>
      <c r="F140" s="16"/>
      <c r="G140" s="16"/>
      <c r="H140" s="16"/>
      <c r="I140" s="16" t="n">
        <v>22</v>
      </c>
      <c r="J140" s="17" t="n">
        <f aca="false">IF(AND(A140="",B140=""),"",IF(SUM(E140:H140)&gt;0,SUM(E140:H140),I140))</f>
        <v>22</v>
      </c>
      <c r="K140" s="17" t="n">
        <f aca="false">IF(J140="","",ROUND(IF(SUM(E140:H140)&gt;0,E140*(1+Config!$C$4)+F140*(1+Config!$C$5)+G140*(1+Config!$C$6)+H140*(1+Config!$C$7),I140*(1+Config!$C$8)),2))</f>
        <v>22.44</v>
      </c>
      <c r="L140" s="18"/>
      <c r="M140" s="19" t="n">
        <f aca="false">IF(J140="","",IF(L140="",Config!$C$3,L140))</f>
        <v>0.2</v>
      </c>
      <c r="N140" s="20" t="n">
        <f aca="false">IF(K140="","",ROUND(K140*(1+M140),2))</f>
        <v>26.93</v>
      </c>
      <c r="O140" s="21" t="s">
        <v>70</v>
      </c>
      <c r="P140" s="21"/>
      <c r="Q140" s="22" t="s">
        <v>71</v>
      </c>
      <c r="R140" s="22" t="s">
        <v>16</v>
      </c>
      <c r="S140" s="23" t="n">
        <f aca="false">IF(A140="","",COUNTIF(Registo!$B$2:$B$501,A140))</f>
        <v>0</v>
      </c>
      <c r="T140" s="17" t="str">
        <f aca="false">IF(OR(A140="",S140=0),"",LOOKUP(2,1/(Registo!$B$2:$B$501=A140),Registo!$E$2:$E$501))</f>
        <v/>
      </c>
      <c r="U140" s="24"/>
    </row>
    <row r="141" customFormat="false" ht="23.85" hidden="false" customHeight="false" outlineLevel="0" collapsed="false">
      <c r="A141" s="14" t="s">
        <v>353</v>
      </c>
      <c r="B141" s="15" t="s">
        <v>354</v>
      </c>
      <c r="C141" s="14" t="s">
        <v>352</v>
      </c>
      <c r="D141" s="14" t="s">
        <v>69</v>
      </c>
      <c r="E141" s="16"/>
      <c r="F141" s="16"/>
      <c r="G141" s="16"/>
      <c r="H141" s="16"/>
      <c r="I141" s="16" t="n">
        <v>28</v>
      </c>
      <c r="J141" s="17" t="n">
        <f aca="false">IF(AND(A141="",B141=""),"",IF(SUM(E141:H141)&gt;0,SUM(E141:H141),I141))</f>
        <v>28</v>
      </c>
      <c r="K141" s="17" t="n">
        <f aca="false">IF(J141="","",ROUND(IF(SUM(E141:H141)&gt;0,E141*(1+Config!$C$4)+F141*(1+Config!$C$5)+G141*(1+Config!$C$6)+H141*(1+Config!$C$7),I141*(1+Config!$C$8)),2))</f>
        <v>28.56</v>
      </c>
      <c r="L141" s="18"/>
      <c r="M141" s="19" t="n">
        <f aca="false">IF(J141="","",IF(L141="",Config!$C$3,L141))</f>
        <v>0.2</v>
      </c>
      <c r="N141" s="20" t="n">
        <f aca="false">IF(K141="","",ROUND(K141*(1+M141),2))</f>
        <v>34.27</v>
      </c>
      <c r="O141" s="21" t="s">
        <v>70</v>
      </c>
      <c r="P141" s="21"/>
      <c r="Q141" s="22" t="s">
        <v>71</v>
      </c>
      <c r="R141" s="22" t="s">
        <v>16</v>
      </c>
      <c r="S141" s="23" t="n">
        <f aca="false">IF(A141="","",COUNTIF(Registo!$B$2:$B$501,A141))</f>
        <v>0</v>
      </c>
      <c r="T141" s="17" t="str">
        <f aca="false">IF(OR(A141="",S141=0),"",LOOKUP(2,1/(Registo!$B$2:$B$501=A141),Registo!$E$2:$E$501))</f>
        <v/>
      </c>
      <c r="U141" s="24"/>
    </row>
    <row r="142" customFormat="false" ht="23.85" hidden="false" customHeight="false" outlineLevel="0" collapsed="false">
      <c r="A142" s="14" t="s">
        <v>355</v>
      </c>
      <c r="B142" s="15" t="s">
        <v>356</v>
      </c>
      <c r="C142" s="14" t="s">
        <v>352</v>
      </c>
      <c r="D142" s="14" t="s">
        <v>69</v>
      </c>
      <c r="E142" s="16"/>
      <c r="F142" s="16"/>
      <c r="G142" s="16"/>
      <c r="H142" s="16"/>
      <c r="I142" s="16" t="n">
        <v>12</v>
      </c>
      <c r="J142" s="17" t="n">
        <f aca="false">IF(AND(A142="",B142=""),"",IF(SUM(E142:H142)&gt;0,SUM(E142:H142),I142))</f>
        <v>12</v>
      </c>
      <c r="K142" s="17" t="n">
        <f aca="false">IF(J142="","",ROUND(IF(SUM(E142:H142)&gt;0,E142*(1+Config!$C$4)+F142*(1+Config!$C$5)+G142*(1+Config!$C$6)+H142*(1+Config!$C$7),I142*(1+Config!$C$8)),2))</f>
        <v>12.24</v>
      </c>
      <c r="L142" s="18"/>
      <c r="M142" s="19" t="n">
        <f aca="false">IF(J142="","",IF(L142="",Config!$C$3,L142))</f>
        <v>0.2</v>
      </c>
      <c r="N142" s="20" t="n">
        <f aca="false">IF(K142="","",ROUND(K142*(1+M142),2))</f>
        <v>14.69</v>
      </c>
      <c r="O142" s="21" t="s">
        <v>70</v>
      </c>
      <c r="P142" s="21"/>
      <c r="Q142" s="22" t="s">
        <v>71</v>
      </c>
      <c r="R142" s="22" t="s">
        <v>16</v>
      </c>
      <c r="S142" s="23" t="n">
        <f aca="false">IF(A142="","",COUNTIF(Registo!$B$2:$B$501,A142))</f>
        <v>0</v>
      </c>
      <c r="T142" s="17" t="str">
        <f aca="false">IF(OR(A142="",S142=0),"",LOOKUP(2,1/(Registo!$B$2:$B$501=A142),Registo!$E$2:$E$501))</f>
        <v/>
      </c>
      <c r="U142" s="24"/>
    </row>
    <row r="143" customFormat="false" ht="23.85" hidden="false" customHeight="false" outlineLevel="0" collapsed="false">
      <c r="A143" s="14" t="s">
        <v>357</v>
      </c>
      <c r="B143" s="15" t="s">
        <v>358</v>
      </c>
      <c r="C143" s="14" t="s">
        <v>359</v>
      </c>
      <c r="D143" s="14" t="s">
        <v>69</v>
      </c>
      <c r="E143" s="16"/>
      <c r="F143" s="16"/>
      <c r="G143" s="16"/>
      <c r="H143" s="16"/>
      <c r="I143" s="16" t="n">
        <v>18</v>
      </c>
      <c r="J143" s="17" t="n">
        <f aca="false">IF(AND(A143="",B143=""),"",IF(SUM(E143:H143)&gt;0,SUM(E143:H143),I143))</f>
        <v>18</v>
      </c>
      <c r="K143" s="17" t="n">
        <f aca="false">IF(J143="","",ROUND(IF(SUM(E143:H143)&gt;0,E143*(1+Config!$C$4)+F143*(1+Config!$C$5)+G143*(1+Config!$C$6)+H143*(1+Config!$C$7),I143*(1+Config!$C$8)),2))</f>
        <v>18.36</v>
      </c>
      <c r="L143" s="18"/>
      <c r="M143" s="19" t="n">
        <f aca="false">IF(J143="","",IF(L143="",Config!$C$3,L143))</f>
        <v>0.2</v>
      </c>
      <c r="N143" s="20" t="n">
        <f aca="false">IF(K143="","",ROUND(K143*(1+M143),2))</f>
        <v>22.03</v>
      </c>
      <c r="O143" s="21" t="s">
        <v>70</v>
      </c>
      <c r="P143" s="21"/>
      <c r="Q143" s="22" t="s">
        <v>71</v>
      </c>
      <c r="R143" s="22" t="s">
        <v>16</v>
      </c>
      <c r="S143" s="23" t="n">
        <f aca="false">IF(A143="","",COUNTIF(Registo!$B$2:$B$501,A143))</f>
        <v>0</v>
      </c>
      <c r="T143" s="17" t="str">
        <f aca="false">IF(OR(A143="",S143=0),"",LOOKUP(2,1/(Registo!$B$2:$B$501=A143),Registo!$E$2:$E$501))</f>
        <v/>
      </c>
      <c r="U143" s="24" t="s">
        <v>243</v>
      </c>
    </row>
    <row r="144" customFormat="false" ht="23.85" hidden="false" customHeight="false" outlineLevel="0" collapsed="false">
      <c r="A144" s="14" t="s">
        <v>360</v>
      </c>
      <c r="B144" s="15" t="s">
        <v>361</v>
      </c>
      <c r="C144" s="14" t="s">
        <v>359</v>
      </c>
      <c r="D144" s="14" t="s">
        <v>69</v>
      </c>
      <c r="E144" s="16"/>
      <c r="F144" s="16"/>
      <c r="G144" s="16"/>
      <c r="H144" s="16"/>
      <c r="I144" s="16" t="n">
        <v>15</v>
      </c>
      <c r="J144" s="17" t="n">
        <f aca="false">IF(AND(A144="",B144=""),"",IF(SUM(E144:H144)&gt;0,SUM(E144:H144),I144))</f>
        <v>15</v>
      </c>
      <c r="K144" s="17" t="n">
        <f aca="false">IF(J144="","",ROUND(IF(SUM(E144:H144)&gt;0,E144*(1+Config!$C$4)+F144*(1+Config!$C$5)+G144*(1+Config!$C$6)+H144*(1+Config!$C$7),I144*(1+Config!$C$8)),2))</f>
        <v>15.3</v>
      </c>
      <c r="L144" s="18"/>
      <c r="M144" s="19" t="n">
        <f aca="false">IF(J144="","",IF(L144="",Config!$C$3,L144))</f>
        <v>0.2</v>
      </c>
      <c r="N144" s="20" t="n">
        <f aca="false">IF(K144="","",ROUND(K144*(1+M144),2))</f>
        <v>18.36</v>
      </c>
      <c r="O144" s="21" t="s">
        <v>70</v>
      </c>
      <c r="P144" s="21"/>
      <c r="Q144" s="22" t="s">
        <v>71</v>
      </c>
      <c r="R144" s="22" t="s">
        <v>16</v>
      </c>
      <c r="S144" s="23" t="n">
        <f aca="false">IF(A144="","",COUNTIF(Registo!$B$2:$B$501,A144))</f>
        <v>0</v>
      </c>
      <c r="T144" s="17" t="str">
        <f aca="false">IF(OR(A144="",S144=0),"",LOOKUP(2,1/(Registo!$B$2:$B$501=A144),Registo!$E$2:$E$501))</f>
        <v/>
      </c>
      <c r="U144" s="24" t="s">
        <v>243</v>
      </c>
    </row>
    <row r="145" customFormat="false" ht="23.85" hidden="false" customHeight="false" outlineLevel="0" collapsed="false">
      <c r="A145" s="14" t="s">
        <v>362</v>
      </c>
      <c r="B145" s="15" t="s">
        <v>363</v>
      </c>
      <c r="C145" s="14" t="s">
        <v>364</v>
      </c>
      <c r="D145" s="14" t="s">
        <v>104</v>
      </c>
      <c r="E145" s="16"/>
      <c r="F145" s="16"/>
      <c r="G145" s="16"/>
      <c r="H145" s="16"/>
      <c r="I145" s="16" t="n">
        <v>850</v>
      </c>
      <c r="J145" s="17" t="n">
        <f aca="false">IF(AND(A145="",B145=""),"",IF(SUM(E145:H145)&gt;0,SUM(E145:H145),I145))</f>
        <v>850</v>
      </c>
      <c r="K145" s="17" t="n">
        <f aca="false">IF(J145="","",ROUND(IF(SUM(E145:H145)&gt;0,E145*(1+Config!$C$4)+F145*(1+Config!$C$5)+G145*(1+Config!$C$6)+H145*(1+Config!$C$7),I145*(1+Config!$C$8)),2))</f>
        <v>867</v>
      </c>
      <c r="L145" s="18"/>
      <c r="M145" s="19" t="n">
        <f aca="false">IF(J145="","",IF(L145="",Config!$C$3,L145))</f>
        <v>0.2</v>
      </c>
      <c r="N145" s="20" t="n">
        <f aca="false">IF(K145="","",ROUND(K145*(1+M145),2))</f>
        <v>1040.4</v>
      </c>
      <c r="O145" s="21" t="s">
        <v>70</v>
      </c>
      <c r="P145" s="21"/>
      <c r="Q145" s="22" t="s">
        <v>71</v>
      </c>
      <c r="R145" s="22" t="s">
        <v>16</v>
      </c>
      <c r="S145" s="23" t="n">
        <f aca="false">IF(A145="","",COUNTIF(Registo!$B$2:$B$501,A145))</f>
        <v>0</v>
      </c>
      <c r="T145" s="17" t="str">
        <f aca="false">IF(OR(A145="",S145=0),"",LOOKUP(2,1/(Registo!$B$2:$B$501=A145),Registo!$E$2:$E$501))</f>
        <v/>
      </c>
      <c r="U145" s="24"/>
    </row>
    <row r="146" customFormat="false" ht="23.85" hidden="false" customHeight="false" outlineLevel="0" collapsed="false">
      <c r="A146" s="14" t="s">
        <v>365</v>
      </c>
      <c r="B146" s="15" t="s">
        <v>366</v>
      </c>
      <c r="C146" s="14" t="s">
        <v>364</v>
      </c>
      <c r="D146" s="14" t="s">
        <v>104</v>
      </c>
      <c r="E146" s="16"/>
      <c r="F146" s="16"/>
      <c r="G146" s="16"/>
      <c r="H146" s="16"/>
      <c r="I146" s="16" t="n">
        <v>1200</v>
      </c>
      <c r="J146" s="17" t="n">
        <f aca="false">IF(AND(A146="",B146=""),"",IF(SUM(E146:H146)&gt;0,SUM(E146:H146),I146))</f>
        <v>1200</v>
      </c>
      <c r="K146" s="17" t="n">
        <f aca="false">IF(J146="","",ROUND(IF(SUM(E146:H146)&gt;0,E146*(1+Config!$C$4)+F146*(1+Config!$C$5)+G146*(1+Config!$C$6)+H146*(1+Config!$C$7),I146*(1+Config!$C$8)),2))</f>
        <v>1224</v>
      </c>
      <c r="L146" s="18"/>
      <c r="M146" s="19" t="n">
        <f aca="false">IF(J146="","",IF(L146="",Config!$C$3,L146))</f>
        <v>0.2</v>
      </c>
      <c r="N146" s="20" t="n">
        <f aca="false">IF(K146="","",ROUND(K146*(1+M146),2))</f>
        <v>1468.8</v>
      </c>
      <c r="O146" s="21" t="s">
        <v>70</v>
      </c>
      <c r="P146" s="21"/>
      <c r="Q146" s="22" t="s">
        <v>71</v>
      </c>
      <c r="R146" s="22" t="s">
        <v>16</v>
      </c>
      <c r="S146" s="23" t="n">
        <f aca="false">IF(A146="","",COUNTIF(Registo!$B$2:$B$501,A146))</f>
        <v>0</v>
      </c>
      <c r="T146" s="17" t="str">
        <f aca="false">IF(OR(A146="",S146=0),"",LOOKUP(2,1/(Registo!$B$2:$B$501=A146),Registo!$E$2:$E$501))</f>
        <v/>
      </c>
      <c r="U146" s="24"/>
    </row>
    <row r="147" customFormat="false" ht="23.85" hidden="false" customHeight="false" outlineLevel="0" collapsed="false">
      <c r="A147" s="14" t="s">
        <v>367</v>
      </c>
      <c r="B147" s="15" t="s">
        <v>368</v>
      </c>
      <c r="C147" s="14" t="s">
        <v>364</v>
      </c>
      <c r="D147" s="14" t="s">
        <v>121</v>
      </c>
      <c r="E147" s="16"/>
      <c r="F147" s="16"/>
      <c r="G147" s="16"/>
      <c r="H147" s="16"/>
      <c r="I147" s="16" t="n">
        <v>680</v>
      </c>
      <c r="J147" s="17" t="n">
        <f aca="false">IF(AND(A147="",B147=""),"",IF(SUM(E147:H147)&gt;0,SUM(E147:H147),I147))</f>
        <v>680</v>
      </c>
      <c r="K147" s="17" t="n">
        <f aca="false">IF(J147="","",ROUND(IF(SUM(E147:H147)&gt;0,E147*(1+Config!$C$4)+F147*(1+Config!$C$5)+G147*(1+Config!$C$6)+H147*(1+Config!$C$7),I147*(1+Config!$C$8)),2))</f>
        <v>693.6</v>
      </c>
      <c r="L147" s="18"/>
      <c r="M147" s="19" t="n">
        <f aca="false">IF(J147="","",IF(L147="",Config!$C$3,L147))</f>
        <v>0.2</v>
      </c>
      <c r="N147" s="20" t="n">
        <f aca="false">IF(K147="","",ROUND(K147*(1+M147),2))</f>
        <v>832.32</v>
      </c>
      <c r="O147" s="21" t="s">
        <v>70</v>
      </c>
      <c r="P147" s="21"/>
      <c r="Q147" s="22" t="s">
        <v>71</v>
      </c>
      <c r="R147" s="22" t="s">
        <v>16</v>
      </c>
      <c r="S147" s="23" t="n">
        <f aca="false">IF(A147="","",COUNTIF(Registo!$B$2:$B$501,A147))</f>
        <v>0</v>
      </c>
      <c r="T147" s="17" t="str">
        <f aca="false">IF(OR(A147="",S147=0),"",LOOKUP(2,1/(Registo!$B$2:$B$501=A147),Registo!$E$2:$E$501))</f>
        <v/>
      </c>
      <c r="U147" s="24"/>
    </row>
    <row r="148" customFormat="false" ht="23.85" hidden="false" customHeight="false" outlineLevel="0" collapsed="false">
      <c r="A148" s="14" t="s">
        <v>369</v>
      </c>
      <c r="B148" s="15" t="s">
        <v>370</v>
      </c>
      <c r="C148" s="14" t="s">
        <v>364</v>
      </c>
      <c r="D148" s="14" t="s">
        <v>121</v>
      </c>
      <c r="E148" s="16"/>
      <c r="F148" s="16"/>
      <c r="G148" s="16"/>
      <c r="H148" s="16"/>
      <c r="I148" s="16" t="n">
        <v>280</v>
      </c>
      <c r="J148" s="17" t="n">
        <f aca="false">IF(AND(A148="",B148=""),"",IF(SUM(E148:H148)&gt;0,SUM(E148:H148),I148))</f>
        <v>280</v>
      </c>
      <c r="K148" s="17" t="n">
        <f aca="false">IF(J148="","",ROUND(IF(SUM(E148:H148)&gt;0,E148*(1+Config!$C$4)+F148*(1+Config!$C$5)+G148*(1+Config!$C$6)+H148*(1+Config!$C$7),I148*(1+Config!$C$8)),2))</f>
        <v>285.6</v>
      </c>
      <c r="L148" s="18"/>
      <c r="M148" s="19" t="n">
        <f aca="false">IF(J148="","",IF(L148="",Config!$C$3,L148))</f>
        <v>0.2</v>
      </c>
      <c r="N148" s="20" t="n">
        <f aca="false">IF(K148="","",ROUND(K148*(1+M148),2))</f>
        <v>342.72</v>
      </c>
      <c r="O148" s="21" t="s">
        <v>70</v>
      </c>
      <c r="P148" s="21"/>
      <c r="Q148" s="22" t="s">
        <v>71</v>
      </c>
      <c r="R148" s="22" t="s">
        <v>16</v>
      </c>
      <c r="S148" s="23" t="n">
        <f aca="false">IF(A148="","",COUNTIF(Registo!$B$2:$B$501,A148))</f>
        <v>0</v>
      </c>
      <c r="T148" s="17" t="str">
        <f aca="false">IF(OR(A148="",S148=0),"",LOOKUP(2,1/(Registo!$B$2:$B$501=A148),Registo!$E$2:$E$501))</f>
        <v/>
      </c>
      <c r="U148" s="24"/>
    </row>
    <row r="149" customFormat="false" ht="23.85" hidden="false" customHeight="false" outlineLevel="0" collapsed="false">
      <c r="A149" s="14" t="s">
        <v>371</v>
      </c>
      <c r="B149" s="15" t="s">
        <v>372</v>
      </c>
      <c r="C149" s="14" t="s">
        <v>364</v>
      </c>
      <c r="D149" s="14" t="s">
        <v>69</v>
      </c>
      <c r="E149" s="16"/>
      <c r="F149" s="16"/>
      <c r="G149" s="16"/>
      <c r="H149" s="16"/>
      <c r="I149" s="16" t="n">
        <v>45</v>
      </c>
      <c r="J149" s="17" t="n">
        <f aca="false">IF(AND(A149="",B149=""),"",IF(SUM(E149:H149)&gt;0,SUM(E149:H149),I149))</f>
        <v>45</v>
      </c>
      <c r="K149" s="17" t="n">
        <f aca="false">IF(J149="","",ROUND(IF(SUM(E149:H149)&gt;0,E149*(1+Config!$C$4)+F149*(1+Config!$C$5)+G149*(1+Config!$C$6)+H149*(1+Config!$C$7),I149*(1+Config!$C$8)),2))</f>
        <v>45.9</v>
      </c>
      <c r="L149" s="18"/>
      <c r="M149" s="19" t="n">
        <f aca="false">IF(J149="","",IF(L149="",Config!$C$3,L149))</f>
        <v>0.2</v>
      </c>
      <c r="N149" s="20" t="n">
        <f aca="false">IF(K149="","",ROUND(K149*(1+M149),2))</f>
        <v>55.08</v>
      </c>
      <c r="O149" s="21" t="s">
        <v>70</v>
      </c>
      <c r="P149" s="21"/>
      <c r="Q149" s="22" t="s">
        <v>71</v>
      </c>
      <c r="R149" s="22" t="s">
        <v>16</v>
      </c>
      <c r="S149" s="23" t="n">
        <f aca="false">IF(A149="","",COUNTIF(Registo!$B$2:$B$501,A149))</f>
        <v>0</v>
      </c>
      <c r="T149" s="17" t="str">
        <f aca="false">IF(OR(A149="",S149=0),"",LOOKUP(2,1/(Registo!$B$2:$B$501=A149),Registo!$E$2:$E$501))</f>
        <v/>
      </c>
      <c r="U149" s="24"/>
    </row>
    <row r="150" customFormat="false" ht="23.85" hidden="false" customHeight="false" outlineLevel="0" collapsed="false">
      <c r="A150" s="14" t="s">
        <v>373</v>
      </c>
      <c r="B150" s="15" t="s">
        <v>374</v>
      </c>
      <c r="C150" s="14" t="s">
        <v>364</v>
      </c>
      <c r="D150" s="14" t="s">
        <v>104</v>
      </c>
      <c r="E150" s="16"/>
      <c r="F150" s="16"/>
      <c r="G150" s="16"/>
      <c r="H150" s="16"/>
      <c r="I150" s="16" t="n">
        <v>11</v>
      </c>
      <c r="J150" s="17" t="n">
        <f aca="false">IF(AND(A150="",B150=""),"",IF(SUM(E150:H150)&gt;0,SUM(E150:H150),I150))</f>
        <v>11</v>
      </c>
      <c r="K150" s="17" t="n">
        <f aca="false">IF(J150="","",ROUND(IF(SUM(E150:H150)&gt;0,E150*(1+Config!$C$4)+F150*(1+Config!$C$5)+G150*(1+Config!$C$6)+H150*(1+Config!$C$7),I150*(1+Config!$C$8)),2))</f>
        <v>11.22</v>
      </c>
      <c r="L150" s="18"/>
      <c r="M150" s="19" t="n">
        <f aca="false">IF(J150="","",IF(L150="",Config!$C$3,L150))</f>
        <v>0.2</v>
      </c>
      <c r="N150" s="20" t="n">
        <f aca="false">IF(K150="","",ROUND(K150*(1+M150),2))</f>
        <v>13.46</v>
      </c>
      <c r="O150" s="21" t="s">
        <v>60</v>
      </c>
      <c r="P150" s="21" t="s">
        <v>61</v>
      </c>
      <c r="Q150" s="22" t="s">
        <v>62</v>
      </c>
      <c r="R150" s="22" t="s">
        <v>14</v>
      </c>
      <c r="S150" s="23" t="n">
        <f aca="false">IF(A150="","",COUNTIF(Registo!$B$2:$B$501,A150))</f>
        <v>0</v>
      </c>
      <c r="T150" s="17" t="str">
        <f aca="false">IF(OR(A150="",S150=0),"",LOOKUP(2,1/(Registo!$B$2:$B$501=A150),Registo!$E$2:$E$501))</f>
        <v/>
      </c>
      <c r="U150" s="24" t="s">
        <v>63</v>
      </c>
    </row>
    <row r="151" customFormat="false" ht="23.85" hidden="false" customHeight="false" outlineLevel="0" collapsed="false">
      <c r="A151" s="14" t="s">
        <v>375</v>
      </c>
      <c r="B151" s="15" t="s">
        <v>376</v>
      </c>
      <c r="C151" s="14" t="s">
        <v>364</v>
      </c>
      <c r="D151" s="14" t="s">
        <v>121</v>
      </c>
      <c r="E151" s="16"/>
      <c r="F151" s="16"/>
      <c r="G151" s="16"/>
      <c r="H151" s="16"/>
      <c r="I151" s="16" t="n">
        <v>210</v>
      </c>
      <c r="J151" s="17" t="n">
        <f aca="false">IF(AND(A151="",B151=""),"",IF(SUM(E151:H151)&gt;0,SUM(E151:H151),I151))</f>
        <v>210</v>
      </c>
      <c r="K151" s="17" t="n">
        <f aca="false">IF(J151="","",ROUND(IF(SUM(E151:H151)&gt;0,E151*(1+Config!$C$4)+F151*(1+Config!$C$5)+G151*(1+Config!$C$6)+H151*(1+Config!$C$7),I151*(1+Config!$C$8)),2))</f>
        <v>214.2</v>
      </c>
      <c r="L151" s="18"/>
      <c r="M151" s="19" t="n">
        <f aca="false">IF(J151="","",IF(L151="",Config!$C$3,L151))</f>
        <v>0.2</v>
      </c>
      <c r="N151" s="20" t="n">
        <f aca="false">IF(K151="","",ROUND(K151*(1+M151),2))</f>
        <v>257.04</v>
      </c>
      <c r="O151" s="21" t="s">
        <v>60</v>
      </c>
      <c r="P151" s="21" t="s">
        <v>61</v>
      </c>
      <c r="Q151" s="22" t="s">
        <v>62</v>
      </c>
      <c r="R151" s="22" t="s">
        <v>14</v>
      </c>
      <c r="S151" s="23" t="n">
        <f aca="false">IF(A151="","",COUNTIF(Registo!$B$2:$B$501,A151))</f>
        <v>0</v>
      </c>
      <c r="T151" s="17" t="str">
        <f aca="false">IF(OR(A151="",S151=0),"",LOOKUP(2,1/(Registo!$B$2:$B$501=A151),Registo!$E$2:$E$501))</f>
        <v/>
      </c>
      <c r="U151" s="24" t="s">
        <v>63</v>
      </c>
    </row>
    <row r="152" customFormat="false" ht="15" hidden="false" customHeight="false" outlineLevel="0" collapsed="false">
      <c r="A152" s="22"/>
      <c r="B152" s="21"/>
      <c r="C152" s="22"/>
      <c r="D152" s="22"/>
      <c r="E152" s="16"/>
      <c r="F152" s="16"/>
      <c r="G152" s="16"/>
      <c r="H152" s="16"/>
      <c r="I152" s="16"/>
      <c r="J152" s="17" t="str">
        <f aca="false">IF(AND(A152="",B152=""),"",IF(SUM(E152:H152)&gt;0,SUM(E152:H152),I152))</f>
        <v/>
      </c>
      <c r="K152" s="17" t="str">
        <f aca="false">IF(J152="","",ROUND(IF(SUM(E152:H152)&gt;0,E152*(1+Config!$C$4)+F152*(1+Config!$C$5)+G152*(1+Config!$C$6)+H152*(1+Config!$C$7),I152*(1+Config!$C$8)),2))</f>
        <v/>
      </c>
      <c r="L152" s="18"/>
      <c r="M152" s="19" t="str">
        <f aca="false">IF(J152="","",IF(L152="",Config!$C$3,L152))</f>
        <v/>
      </c>
      <c r="N152" s="20" t="str">
        <f aca="false">IF(K152="","",ROUND(K152*(1+M152),2))</f>
        <v/>
      </c>
      <c r="O152" s="21"/>
      <c r="P152" s="21"/>
      <c r="Q152" s="22"/>
      <c r="R152" s="22"/>
      <c r="S152" s="23" t="str">
        <f aca="false">IF(A152="","",COUNTIF(Registo!$B$2:$B$501,A152))</f>
        <v/>
      </c>
      <c r="T152" s="17" t="str">
        <f aca="false">IF(OR(A152="",S152=0),"",LOOKUP(2,1/(Registo!$B$2:$B$501=A152),Registo!$E$2:$E$501))</f>
        <v/>
      </c>
      <c r="U152" s="24"/>
    </row>
    <row r="153" customFormat="false" ht="15" hidden="false" customHeight="false" outlineLevel="0" collapsed="false">
      <c r="A153" s="22"/>
      <c r="B153" s="21"/>
      <c r="C153" s="22"/>
      <c r="D153" s="22"/>
      <c r="E153" s="16"/>
      <c r="F153" s="16"/>
      <c r="G153" s="16"/>
      <c r="H153" s="16"/>
      <c r="I153" s="16"/>
      <c r="J153" s="17" t="str">
        <f aca="false">IF(AND(A153="",B153=""),"",IF(SUM(E153:H153)&gt;0,SUM(E153:H153),I153))</f>
        <v/>
      </c>
      <c r="K153" s="17" t="str">
        <f aca="false">IF(J153="","",ROUND(IF(SUM(E153:H153)&gt;0,E153*(1+Config!$C$4)+F153*(1+Config!$C$5)+G153*(1+Config!$C$6)+H153*(1+Config!$C$7),I153*(1+Config!$C$8)),2))</f>
        <v/>
      </c>
      <c r="L153" s="18"/>
      <c r="M153" s="19" t="str">
        <f aca="false">IF(J153="","",IF(L153="",Config!$C$3,L153))</f>
        <v/>
      </c>
      <c r="N153" s="20" t="str">
        <f aca="false">IF(K153="","",ROUND(K153*(1+M153),2))</f>
        <v/>
      </c>
      <c r="O153" s="21"/>
      <c r="P153" s="21"/>
      <c r="Q153" s="22"/>
      <c r="R153" s="22"/>
      <c r="S153" s="23" t="str">
        <f aca="false">IF(A153="","",COUNTIF(Registo!$B$2:$B$501,A153))</f>
        <v/>
      </c>
      <c r="T153" s="17" t="str">
        <f aca="false">IF(OR(A153="",S153=0),"",LOOKUP(2,1/(Registo!$B$2:$B$501=A153),Registo!$E$2:$E$501))</f>
        <v/>
      </c>
      <c r="U153" s="24"/>
    </row>
    <row r="154" customFormat="false" ht="15" hidden="false" customHeight="false" outlineLevel="0" collapsed="false">
      <c r="A154" s="22"/>
      <c r="B154" s="21"/>
      <c r="C154" s="22"/>
      <c r="D154" s="22"/>
      <c r="E154" s="16"/>
      <c r="F154" s="16"/>
      <c r="G154" s="16"/>
      <c r="H154" s="16"/>
      <c r="I154" s="16"/>
      <c r="J154" s="17" t="str">
        <f aca="false">IF(AND(A154="",B154=""),"",IF(SUM(E154:H154)&gt;0,SUM(E154:H154),I154))</f>
        <v/>
      </c>
      <c r="K154" s="17" t="str">
        <f aca="false">IF(J154="","",ROUND(IF(SUM(E154:H154)&gt;0,E154*(1+Config!$C$4)+F154*(1+Config!$C$5)+G154*(1+Config!$C$6)+H154*(1+Config!$C$7),I154*(1+Config!$C$8)),2))</f>
        <v/>
      </c>
      <c r="L154" s="18"/>
      <c r="M154" s="19" t="str">
        <f aca="false">IF(J154="","",IF(L154="",Config!$C$3,L154))</f>
        <v/>
      </c>
      <c r="N154" s="20" t="str">
        <f aca="false">IF(K154="","",ROUND(K154*(1+M154),2))</f>
        <v/>
      </c>
      <c r="O154" s="21"/>
      <c r="P154" s="21"/>
      <c r="Q154" s="22"/>
      <c r="R154" s="22"/>
      <c r="S154" s="23" t="str">
        <f aca="false">IF(A154="","",COUNTIF(Registo!$B$2:$B$501,A154))</f>
        <v/>
      </c>
      <c r="T154" s="17" t="str">
        <f aca="false">IF(OR(A154="",S154=0),"",LOOKUP(2,1/(Registo!$B$2:$B$501=A154),Registo!$E$2:$E$501))</f>
        <v/>
      </c>
      <c r="U154" s="24"/>
    </row>
    <row r="155" customFormat="false" ht="15" hidden="false" customHeight="false" outlineLevel="0" collapsed="false">
      <c r="A155" s="22"/>
      <c r="B155" s="21"/>
      <c r="C155" s="22"/>
      <c r="D155" s="22"/>
      <c r="E155" s="16"/>
      <c r="F155" s="16"/>
      <c r="G155" s="16"/>
      <c r="H155" s="16"/>
      <c r="I155" s="16"/>
      <c r="J155" s="17" t="str">
        <f aca="false">IF(AND(A155="",B155=""),"",IF(SUM(E155:H155)&gt;0,SUM(E155:H155),I155))</f>
        <v/>
      </c>
      <c r="K155" s="17" t="str">
        <f aca="false">IF(J155="","",ROUND(IF(SUM(E155:H155)&gt;0,E155*(1+Config!$C$4)+F155*(1+Config!$C$5)+G155*(1+Config!$C$6)+H155*(1+Config!$C$7),I155*(1+Config!$C$8)),2))</f>
        <v/>
      </c>
      <c r="L155" s="18"/>
      <c r="M155" s="19" t="str">
        <f aca="false">IF(J155="","",IF(L155="",Config!$C$3,L155))</f>
        <v/>
      </c>
      <c r="N155" s="20" t="str">
        <f aca="false">IF(K155="","",ROUND(K155*(1+M155),2))</f>
        <v/>
      </c>
      <c r="O155" s="21"/>
      <c r="P155" s="21"/>
      <c r="Q155" s="22"/>
      <c r="R155" s="22"/>
      <c r="S155" s="23" t="str">
        <f aca="false">IF(A155="","",COUNTIF(Registo!$B$2:$B$501,A155))</f>
        <v/>
      </c>
      <c r="T155" s="17" t="str">
        <f aca="false">IF(OR(A155="",S155=0),"",LOOKUP(2,1/(Registo!$B$2:$B$501=A155),Registo!$E$2:$E$501))</f>
        <v/>
      </c>
      <c r="U155" s="24"/>
    </row>
    <row r="156" customFormat="false" ht="15" hidden="false" customHeight="false" outlineLevel="0" collapsed="false">
      <c r="A156" s="22"/>
      <c r="B156" s="21"/>
      <c r="C156" s="22"/>
      <c r="D156" s="22"/>
      <c r="E156" s="16"/>
      <c r="F156" s="16"/>
      <c r="G156" s="16"/>
      <c r="H156" s="16"/>
      <c r="I156" s="16"/>
      <c r="J156" s="17" t="str">
        <f aca="false">IF(AND(A156="",B156=""),"",IF(SUM(E156:H156)&gt;0,SUM(E156:H156),I156))</f>
        <v/>
      </c>
      <c r="K156" s="17" t="str">
        <f aca="false">IF(J156="","",ROUND(IF(SUM(E156:H156)&gt;0,E156*(1+Config!$C$4)+F156*(1+Config!$C$5)+G156*(1+Config!$C$6)+H156*(1+Config!$C$7),I156*(1+Config!$C$8)),2))</f>
        <v/>
      </c>
      <c r="L156" s="18"/>
      <c r="M156" s="19" t="str">
        <f aca="false">IF(J156="","",IF(L156="",Config!$C$3,L156))</f>
        <v/>
      </c>
      <c r="N156" s="20" t="str">
        <f aca="false">IF(K156="","",ROUND(K156*(1+M156),2))</f>
        <v/>
      </c>
      <c r="O156" s="21"/>
      <c r="P156" s="21"/>
      <c r="Q156" s="22"/>
      <c r="R156" s="22"/>
      <c r="S156" s="23" t="str">
        <f aca="false">IF(A156="","",COUNTIF(Registo!$B$2:$B$501,A156))</f>
        <v/>
      </c>
      <c r="T156" s="17" t="str">
        <f aca="false">IF(OR(A156="",S156=0),"",LOOKUP(2,1/(Registo!$B$2:$B$501=A156),Registo!$E$2:$E$501))</f>
        <v/>
      </c>
      <c r="U156" s="24"/>
    </row>
    <row r="157" customFormat="false" ht="15" hidden="false" customHeight="false" outlineLevel="0" collapsed="false">
      <c r="A157" s="22"/>
      <c r="B157" s="21"/>
      <c r="C157" s="22"/>
      <c r="D157" s="22"/>
      <c r="E157" s="16"/>
      <c r="F157" s="16"/>
      <c r="G157" s="16"/>
      <c r="H157" s="16"/>
      <c r="I157" s="16"/>
      <c r="J157" s="17" t="str">
        <f aca="false">IF(AND(A157="",B157=""),"",IF(SUM(E157:H157)&gt;0,SUM(E157:H157),I157))</f>
        <v/>
      </c>
      <c r="K157" s="17" t="str">
        <f aca="false">IF(J157="","",ROUND(IF(SUM(E157:H157)&gt;0,E157*(1+Config!$C$4)+F157*(1+Config!$C$5)+G157*(1+Config!$C$6)+H157*(1+Config!$C$7),I157*(1+Config!$C$8)),2))</f>
        <v/>
      </c>
      <c r="L157" s="18"/>
      <c r="M157" s="19" t="str">
        <f aca="false">IF(J157="","",IF(L157="",Config!$C$3,L157))</f>
        <v/>
      </c>
      <c r="N157" s="20" t="str">
        <f aca="false">IF(K157="","",ROUND(K157*(1+M157),2))</f>
        <v/>
      </c>
      <c r="O157" s="21"/>
      <c r="P157" s="21"/>
      <c r="Q157" s="22"/>
      <c r="R157" s="22"/>
      <c r="S157" s="23" t="str">
        <f aca="false">IF(A157="","",COUNTIF(Registo!$B$2:$B$501,A157))</f>
        <v/>
      </c>
      <c r="T157" s="17" t="str">
        <f aca="false">IF(OR(A157="",S157=0),"",LOOKUP(2,1/(Registo!$B$2:$B$501=A157),Registo!$E$2:$E$501))</f>
        <v/>
      </c>
      <c r="U157" s="24"/>
    </row>
    <row r="158" customFormat="false" ht="15" hidden="false" customHeight="false" outlineLevel="0" collapsed="false">
      <c r="A158" s="22"/>
      <c r="B158" s="21"/>
      <c r="C158" s="22"/>
      <c r="D158" s="22"/>
      <c r="E158" s="16"/>
      <c r="F158" s="16"/>
      <c r="G158" s="16"/>
      <c r="H158" s="16"/>
      <c r="I158" s="16"/>
      <c r="J158" s="17" t="str">
        <f aca="false">IF(AND(A158="",B158=""),"",IF(SUM(E158:H158)&gt;0,SUM(E158:H158),I158))</f>
        <v/>
      </c>
      <c r="K158" s="17" t="str">
        <f aca="false">IF(J158="","",ROUND(IF(SUM(E158:H158)&gt;0,E158*(1+Config!$C$4)+F158*(1+Config!$C$5)+G158*(1+Config!$C$6)+H158*(1+Config!$C$7),I158*(1+Config!$C$8)),2))</f>
        <v/>
      </c>
      <c r="L158" s="18"/>
      <c r="M158" s="19" t="str">
        <f aca="false">IF(J158="","",IF(L158="",Config!$C$3,L158))</f>
        <v/>
      </c>
      <c r="N158" s="20" t="str">
        <f aca="false">IF(K158="","",ROUND(K158*(1+M158),2))</f>
        <v/>
      </c>
      <c r="O158" s="21"/>
      <c r="P158" s="21"/>
      <c r="Q158" s="22"/>
      <c r="R158" s="22"/>
      <c r="S158" s="23" t="str">
        <f aca="false">IF(A158="","",COUNTIF(Registo!$B$2:$B$501,A158))</f>
        <v/>
      </c>
      <c r="T158" s="17" t="str">
        <f aca="false">IF(OR(A158="",S158=0),"",LOOKUP(2,1/(Registo!$B$2:$B$501=A158),Registo!$E$2:$E$501))</f>
        <v/>
      </c>
      <c r="U158" s="24"/>
    </row>
    <row r="159" customFormat="false" ht="15" hidden="false" customHeight="false" outlineLevel="0" collapsed="false">
      <c r="A159" s="22"/>
      <c r="B159" s="21"/>
      <c r="C159" s="22"/>
      <c r="D159" s="22"/>
      <c r="E159" s="16"/>
      <c r="F159" s="16"/>
      <c r="G159" s="16"/>
      <c r="H159" s="16"/>
      <c r="I159" s="16"/>
      <c r="J159" s="17" t="str">
        <f aca="false">IF(AND(A159="",B159=""),"",IF(SUM(E159:H159)&gt;0,SUM(E159:H159),I159))</f>
        <v/>
      </c>
      <c r="K159" s="17" t="str">
        <f aca="false">IF(J159="","",ROUND(IF(SUM(E159:H159)&gt;0,E159*(1+Config!$C$4)+F159*(1+Config!$C$5)+G159*(1+Config!$C$6)+H159*(1+Config!$C$7),I159*(1+Config!$C$8)),2))</f>
        <v/>
      </c>
      <c r="L159" s="18"/>
      <c r="M159" s="19" t="str">
        <f aca="false">IF(J159="","",IF(L159="",Config!$C$3,L159))</f>
        <v/>
      </c>
      <c r="N159" s="20" t="str">
        <f aca="false">IF(K159="","",ROUND(K159*(1+M159),2))</f>
        <v/>
      </c>
      <c r="O159" s="21"/>
      <c r="P159" s="21"/>
      <c r="Q159" s="22"/>
      <c r="R159" s="22"/>
      <c r="S159" s="23" t="str">
        <f aca="false">IF(A159="","",COUNTIF(Registo!$B$2:$B$501,A159))</f>
        <v/>
      </c>
      <c r="T159" s="17" t="str">
        <f aca="false">IF(OR(A159="",S159=0),"",LOOKUP(2,1/(Registo!$B$2:$B$501=A159),Registo!$E$2:$E$501))</f>
        <v/>
      </c>
      <c r="U159" s="24"/>
    </row>
    <row r="160" customFormat="false" ht="15" hidden="false" customHeight="false" outlineLevel="0" collapsed="false">
      <c r="A160" s="22"/>
      <c r="B160" s="21"/>
      <c r="C160" s="22"/>
      <c r="D160" s="22"/>
      <c r="E160" s="16"/>
      <c r="F160" s="16"/>
      <c r="G160" s="16"/>
      <c r="H160" s="16"/>
      <c r="I160" s="16"/>
      <c r="J160" s="17" t="str">
        <f aca="false">IF(AND(A160="",B160=""),"",IF(SUM(E160:H160)&gt;0,SUM(E160:H160),I160))</f>
        <v/>
      </c>
      <c r="K160" s="17" t="str">
        <f aca="false">IF(J160="","",ROUND(IF(SUM(E160:H160)&gt;0,E160*(1+Config!$C$4)+F160*(1+Config!$C$5)+G160*(1+Config!$C$6)+H160*(1+Config!$C$7),I160*(1+Config!$C$8)),2))</f>
        <v/>
      </c>
      <c r="L160" s="18"/>
      <c r="M160" s="19" t="str">
        <f aca="false">IF(J160="","",IF(L160="",Config!$C$3,L160))</f>
        <v/>
      </c>
      <c r="N160" s="20" t="str">
        <f aca="false">IF(K160="","",ROUND(K160*(1+M160),2))</f>
        <v/>
      </c>
      <c r="O160" s="21"/>
      <c r="P160" s="21"/>
      <c r="Q160" s="22"/>
      <c r="R160" s="22"/>
      <c r="S160" s="23" t="str">
        <f aca="false">IF(A160="","",COUNTIF(Registo!$B$2:$B$501,A160))</f>
        <v/>
      </c>
      <c r="T160" s="17" t="str">
        <f aca="false">IF(OR(A160="",S160=0),"",LOOKUP(2,1/(Registo!$B$2:$B$501=A160),Registo!$E$2:$E$501))</f>
        <v/>
      </c>
      <c r="U160" s="24"/>
    </row>
    <row r="161" customFormat="false" ht="15" hidden="false" customHeight="false" outlineLevel="0" collapsed="false">
      <c r="A161" s="22"/>
      <c r="B161" s="21"/>
      <c r="C161" s="22"/>
      <c r="D161" s="22"/>
      <c r="E161" s="16"/>
      <c r="F161" s="16"/>
      <c r="G161" s="16"/>
      <c r="H161" s="16"/>
      <c r="I161" s="16"/>
      <c r="J161" s="17" t="str">
        <f aca="false">IF(AND(A161="",B161=""),"",IF(SUM(E161:H161)&gt;0,SUM(E161:H161),I161))</f>
        <v/>
      </c>
      <c r="K161" s="17" t="str">
        <f aca="false">IF(J161="","",ROUND(IF(SUM(E161:H161)&gt;0,E161*(1+Config!$C$4)+F161*(1+Config!$C$5)+G161*(1+Config!$C$6)+H161*(1+Config!$C$7),I161*(1+Config!$C$8)),2))</f>
        <v/>
      </c>
      <c r="L161" s="18"/>
      <c r="M161" s="19" t="str">
        <f aca="false">IF(J161="","",IF(L161="",Config!$C$3,L161))</f>
        <v/>
      </c>
      <c r="N161" s="20" t="str">
        <f aca="false">IF(K161="","",ROUND(K161*(1+M161),2))</f>
        <v/>
      </c>
      <c r="O161" s="21"/>
      <c r="P161" s="21"/>
      <c r="Q161" s="22"/>
      <c r="R161" s="22"/>
      <c r="S161" s="23" t="str">
        <f aca="false">IF(A161="","",COUNTIF(Registo!$B$2:$B$501,A161))</f>
        <v/>
      </c>
      <c r="T161" s="17" t="str">
        <f aca="false">IF(OR(A161="",S161=0),"",LOOKUP(2,1/(Registo!$B$2:$B$501=A161),Registo!$E$2:$E$501))</f>
        <v/>
      </c>
      <c r="U161" s="24"/>
    </row>
    <row r="162" customFormat="false" ht="15" hidden="false" customHeight="false" outlineLevel="0" collapsed="false">
      <c r="A162" s="22"/>
      <c r="B162" s="21"/>
      <c r="C162" s="22"/>
      <c r="D162" s="22"/>
      <c r="E162" s="16"/>
      <c r="F162" s="16"/>
      <c r="G162" s="16"/>
      <c r="H162" s="16"/>
      <c r="I162" s="16"/>
      <c r="J162" s="17" t="str">
        <f aca="false">IF(AND(A162="",B162=""),"",IF(SUM(E162:H162)&gt;0,SUM(E162:H162),I162))</f>
        <v/>
      </c>
      <c r="K162" s="17" t="str">
        <f aca="false">IF(J162="","",ROUND(IF(SUM(E162:H162)&gt;0,E162*(1+Config!$C$4)+F162*(1+Config!$C$5)+G162*(1+Config!$C$6)+H162*(1+Config!$C$7),I162*(1+Config!$C$8)),2))</f>
        <v/>
      </c>
      <c r="L162" s="18"/>
      <c r="M162" s="19" t="str">
        <f aca="false">IF(J162="","",IF(L162="",Config!$C$3,L162))</f>
        <v/>
      </c>
      <c r="N162" s="20" t="str">
        <f aca="false">IF(K162="","",ROUND(K162*(1+M162),2))</f>
        <v/>
      </c>
      <c r="O162" s="21"/>
      <c r="P162" s="21"/>
      <c r="Q162" s="22"/>
      <c r="R162" s="22"/>
      <c r="S162" s="23" t="str">
        <f aca="false">IF(A162="","",COUNTIF(Registo!$B$2:$B$501,A162))</f>
        <v/>
      </c>
      <c r="T162" s="17" t="str">
        <f aca="false">IF(OR(A162="",S162=0),"",LOOKUP(2,1/(Registo!$B$2:$B$501=A162),Registo!$E$2:$E$501))</f>
        <v/>
      </c>
      <c r="U162" s="24"/>
    </row>
    <row r="163" customFormat="false" ht="15" hidden="false" customHeight="false" outlineLevel="0" collapsed="false">
      <c r="A163" s="22"/>
      <c r="B163" s="21"/>
      <c r="C163" s="22"/>
      <c r="D163" s="22"/>
      <c r="E163" s="16"/>
      <c r="F163" s="16"/>
      <c r="G163" s="16"/>
      <c r="H163" s="16"/>
      <c r="I163" s="16"/>
      <c r="J163" s="17" t="str">
        <f aca="false">IF(AND(A163="",B163=""),"",IF(SUM(E163:H163)&gt;0,SUM(E163:H163),I163))</f>
        <v/>
      </c>
      <c r="K163" s="17" t="str">
        <f aca="false">IF(J163="","",ROUND(IF(SUM(E163:H163)&gt;0,E163*(1+Config!$C$4)+F163*(1+Config!$C$5)+G163*(1+Config!$C$6)+H163*(1+Config!$C$7),I163*(1+Config!$C$8)),2))</f>
        <v/>
      </c>
      <c r="L163" s="18"/>
      <c r="M163" s="19" t="str">
        <f aca="false">IF(J163="","",IF(L163="",Config!$C$3,L163))</f>
        <v/>
      </c>
      <c r="N163" s="20" t="str">
        <f aca="false">IF(K163="","",ROUND(K163*(1+M163),2))</f>
        <v/>
      </c>
      <c r="O163" s="21"/>
      <c r="P163" s="21"/>
      <c r="Q163" s="22"/>
      <c r="R163" s="22"/>
      <c r="S163" s="23" t="str">
        <f aca="false">IF(A163="","",COUNTIF(Registo!$B$2:$B$501,A163))</f>
        <v/>
      </c>
      <c r="T163" s="17" t="str">
        <f aca="false">IF(OR(A163="",S163=0),"",LOOKUP(2,1/(Registo!$B$2:$B$501=A163),Registo!$E$2:$E$501))</f>
        <v/>
      </c>
      <c r="U163" s="24"/>
    </row>
    <row r="164" customFormat="false" ht="15" hidden="false" customHeight="false" outlineLevel="0" collapsed="false">
      <c r="A164" s="22"/>
      <c r="B164" s="21"/>
      <c r="C164" s="22"/>
      <c r="D164" s="22"/>
      <c r="E164" s="16"/>
      <c r="F164" s="16"/>
      <c r="G164" s="16"/>
      <c r="H164" s="16"/>
      <c r="I164" s="16"/>
      <c r="J164" s="17" t="str">
        <f aca="false">IF(AND(A164="",B164=""),"",IF(SUM(E164:H164)&gt;0,SUM(E164:H164),I164))</f>
        <v/>
      </c>
      <c r="K164" s="17" t="str">
        <f aca="false">IF(J164="","",ROUND(IF(SUM(E164:H164)&gt;0,E164*(1+Config!$C$4)+F164*(1+Config!$C$5)+G164*(1+Config!$C$6)+H164*(1+Config!$C$7),I164*(1+Config!$C$8)),2))</f>
        <v/>
      </c>
      <c r="L164" s="18"/>
      <c r="M164" s="19" t="str">
        <f aca="false">IF(J164="","",IF(L164="",Config!$C$3,L164))</f>
        <v/>
      </c>
      <c r="N164" s="20" t="str">
        <f aca="false">IF(K164="","",ROUND(K164*(1+M164),2))</f>
        <v/>
      </c>
      <c r="O164" s="21"/>
      <c r="P164" s="21"/>
      <c r="Q164" s="22"/>
      <c r="R164" s="22"/>
      <c r="S164" s="23" t="str">
        <f aca="false">IF(A164="","",COUNTIF(Registo!$B$2:$B$501,A164))</f>
        <v/>
      </c>
      <c r="T164" s="17" t="str">
        <f aca="false">IF(OR(A164="",S164=0),"",LOOKUP(2,1/(Registo!$B$2:$B$501=A164),Registo!$E$2:$E$501))</f>
        <v/>
      </c>
      <c r="U164" s="24"/>
    </row>
    <row r="165" customFormat="false" ht="15" hidden="false" customHeight="false" outlineLevel="0" collapsed="false">
      <c r="A165" s="22"/>
      <c r="B165" s="21"/>
      <c r="C165" s="22"/>
      <c r="D165" s="22"/>
      <c r="E165" s="16"/>
      <c r="F165" s="16"/>
      <c r="G165" s="16"/>
      <c r="H165" s="16"/>
      <c r="I165" s="16"/>
      <c r="J165" s="17" t="str">
        <f aca="false">IF(AND(A165="",B165=""),"",IF(SUM(E165:H165)&gt;0,SUM(E165:H165),I165))</f>
        <v/>
      </c>
      <c r="K165" s="17" t="str">
        <f aca="false">IF(J165="","",ROUND(IF(SUM(E165:H165)&gt;0,E165*(1+Config!$C$4)+F165*(1+Config!$C$5)+G165*(1+Config!$C$6)+H165*(1+Config!$C$7),I165*(1+Config!$C$8)),2))</f>
        <v/>
      </c>
      <c r="L165" s="18"/>
      <c r="M165" s="19" t="str">
        <f aca="false">IF(J165="","",IF(L165="",Config!$C$3,L165))</f>
        <v/>
      </c>
      <c r="N165" s="20" t="str">
        <f aca="false">IF(K165="","",ROUND(K165*(1+M165),2))</f>
        <v/>
      </c>
      <c r="O165" s="21"/>
      <c r="P165" s="21"/>
      <c r="Q165" s="22"/>
      <c r="R165" s="22"/>
      <c r="S165" s="23" t="str">
        <f aca="false">IF(A165="","",COUNTIF(Registo!$B$2:$B$501,A165))</f>
        <v/>
      </c>
      <c r="T165" s="17" t="str">
        <f aca="false">IF(OR(A165="",S165=0),"",LOOKUP(2,1/(Registo!$B$2:$B$501=A165),Registo!$E$2:$E$501))</f>
        <v/>
      </c>
      <c r="U165" s="24"/>
    </row>
    <row r="166" customFormat="false" ht="15" hidden="false" customHeight="false" outlineLevel="0" collapsed="false">
      <c r="A166" s="22"/>
      <c r="B166" s="21"/>
      <c r="C166" s="22"/>
      <c r="D166" s="22"/>
      <c r="E166" s="16"/>
      <c r="F166" s="16"/>
      <c r="G166" s="16"/>
      <c r="H166" s="16"/>
      <c r="I166" s="16"/>
      <c r="J166" s="17" t="str">
        <f aca="false">IF(AND(A166="",B166=""),"",IF(SUM(E166:H166)&gt;0,SUM(E166:H166),I166))</f>
        <v/>
      </c>
      <c r="K166" s="17" t="str">
        <f aca="false">IF(J166="","",ROUND(IF(SUM(E166:H166)&gt;0,E166*(1+Config!$C$4)+F166*(1+Config!$C$5)+G166*(1+Config!$C$6)+H166*(1+Config!$C$7),I166*(1+Config!$C$8)),2))</f>
        <v/>
      </c>
      <c r="L166" s="18"/>
      <c r="M166" s="19" t="str">
        <f aca="false">IF(J166="","",IF(L166="",Config!$C$3,L166))</f>
        <v/>
      </c>
      <c r="N166" s="20" t="str">
        <f aca="false">IF(K166="","",ROUND(K166*(1+M166),2))</f>
        <v/>
      </c>
      <c r="O166" s="21"/>
      <c r="P166" s="21"/>
      <c r="Q166" s="22"/>
      <c r="R166" s="22"/>
      <c r="S166" s="23" t="str">
        <f aca="false">IF(A166="","",COUNTIF(Registo!$B$2:$B$501,A166))</f>
        <v/>
      </c>
      <c r="T166" s="17" t="str">
        <f aca="false">IF(OR(A166="",S166=0),"",LOOKUP(2,1/(Registo!$B$2:$B$501=A166),Registo!$E$2:$E$501))</f>
        <v/>
      </c>
      <c r="U166" s="24"/>
    </row>
    <row r="167" customFormat="false" ht="15" hidden="false" customHeight="false" outlineLevel="0" collapsed="false">
      <c r="A167" s="22"/>
      <c r="B167" s="21"/>
      <c r="C167" s="22"/>
      <c r="D167" s="22"/>
      <c r="E167" s="16"/>
      <c r="F167" s="16"/>
      <c r="G167" s="16"/>
      <c r="H167" s="16"/>
      <c r="I167" s="16"/>
      <c r="J167" s="17" t="str">
        <f aca="false">IF(AND(A167="",B167=""),"",IF(SUM(E167:H167)&gt;0,SUM(E167:H167),I167))</f>
        <v/>
      </c>
      <c r="K167" s="17" t="str">
        <f aca="false">IF(J167="","",ROUND(IF(SUM(E167:H167)&gt;0,E167*(1+Config!$C$4)+F167*(1+Config!$C$5)+G167*(1+Config!$C$6)+H167*(1+Config!$C$7),I167*(1+Config!$C$8)),2))</f>
        <v/>
      </c>
      <c r="L167" s="18"/>
      <c r="M167" s="19" t="str">
        <f aca="false">IF(J167="","",IF(L167="",Config!$C$3,L167))</f>
        <v/>
      </c>
      <c r="N167" s="20" t="str">
        <f aca="false">IF(K167="","",ROUND(K167*(1+M167),2))</f>
        <v/>
      </c>
      <c r="O167" s="21"/>
      <c r="P167" s="21"/>
      <c r="Q167" s="22"/>
      <c r="R167" s="22"/>
      <c r="S167" s="23" t="str">
        <f aca="false">IF(A167="","",COUNTIF(Registo!$B$2:$B$501,A167))</f>
        <v/>
      </c>
      <c r="T167" s="17" t="str">
        <f aca="false">IF(OR(A167="",S167=0),"",LOOKUP(2,1/(Registo!$B$2:$B$501=A167),Registo!$E$2:$E$501))</f>
        <v/>
      </c>
      <c r="U167" s="24"/>
    </row>
    <row r="168" customFormat="false" ht="15" hidden="false" customHeight="false" outlineLevel="0" collapsed="false">
      <c r="A168" s="22"/>
      <c r="B168" s="21"/>
      <c r="C168" s="22"/>
      <c r="D168" s="22"/>
      <c r="E168" s="16"/>
      <c r="F168" s="16"/>
      <c r="G168" s="16"/>
      <c r="H168" s="16"/>
      <c r="I168" s="16"/>
      <c r="J168" s="17" t="str">
        <f aca="false">IF(AND(A168="",B168=""),"",IF(SUM(E168:H168)&gt;0,SUM(E168:H168),I168))</f>
        <v/>
      </c>
      <c r="K168" s="17" t="str">
        <f aca="false">IF(J168="","",ROUND(IF(SUM(E168:H168)&gt;0,E168*(1+Config!$C$4)+F168*(1+Config!$C$5)+G168*(1+Config!$C$6)+H168*(1+Config!$C$7),I168*(1+Config!$C$8)),2))</f>
        <v/>
      </c>
      <c r="L168" s="18"/>
      <c r="M168" s="19" t="str">
        <f aca="false">IF(J168="","",IF(L168="",Config!$C$3,L168))</f>
        <v/>
      </c>
      <c r="N168" s="20" t="str">
        <f aca="false">IF(K168="","",ROUND(K168*(1+M168),2))</f>
        <v/>
      </c>
      <c r="O168" s="21"/>
      <c r="P168" s="21"/>
      <c r="Q168" s="22"/>
      <c r="R168" s="22"/>
      <c r="S168" s="23" t="str">
        <f aca="false">IF(A168="","",COUNTIF(Registo!$B$2:$B$501,A168))</f>
        <v/>
      </c>
      <c r="T168" s="17" t="str">
        <f aca="false">IF(OR(A168="",S168=0),"",LOOKUP(2,1/(Registo!$B$2:$B$501=A168),Registo!$E$2:$E$501))</f>
        <v/>
      </c>
      <c r="U168" s="24"/>
    </row>
    <row r="169" customFormat="false" ht="15" hidden="false" customHeight="false" outlineLevel="0" collapsed="false">
      <c r="A169" s="22"/>
      <c r="B169" s="21"/>
      <c r="C169" s="22"/>
      <c r="D169" s="22"/>
      <c r="E169" s="16"/>
      <c r="F169" s="16"/>
      <c r="G169" s="16"/>
      <c r="H169" s="16"/>
      <c r="I169" s="16"/>
      <c r="J169" s="17" t="str">
        <f aca="false">IF(AND(A169="",B169=""),"",IF(SUM(E169:H169)&gt;0,SUM(E169:H169),I169))</f>
        <v/>
      </c>
      <c r="K169" s="17" t="str">
        <f aca="false">IF(J169="","",ROUND(IF(SUM(E169:H169)&gt;0,E169*(1+Config!$C$4)+F169*(1+Config!$C$5)+G169*(1+Config!$C$6)+H169*(1+Config!$C$7),I169*(1+Config!$C$8)),2))</f>
        <v/>
      </c>
      <c r="L169" s="18"/>
      <c r="M169" s="19" t="str">
        <f aca="false">IF(J169="","",IF(L169="",Config!$C$3,L169))</f>
        <v/>
      </c>
      <c r="N169" s="20" t="str">
        <f aca="false">IF(K169="","",ROUND(K169*(1+M169),2))</f>
        <v/>
      </c>
      <c r="O169" s="21"/>
      <c r="P169" s="21"/>
      <c r="Q169" s="22"/>
      <c r="R169" s="22"/>
      <c r="S169" s="23" t="str">
        <f aca="false">IF(A169="","",COUNTIF(Registo!$B$2:$B$501,A169))</f>
        <v/>
      </c>
      <c r="T169" s="17" t="str">
        <f aca="false">IF(OR(A169="",S169=0),"",LOOKUP(2,1/(Registo!$B$2:$B$501=A169),Registo!$E$2:$E$501))</f>
        <v/>
      </c>
      <c r="U169" s="24"/>
    </row>
    <row r="170" customFormat="false" ht="15" hidden="false" customHeight="false" outlineLevel="0" collapsed="false">
      <c r="A170" s="22"/>
      <c r="B170" s="21"/>
      <c r="C170" s="22"/>
      <c r="D170" s="22"/>
      <c r="E170" s="16"/>
      <c r="F170" s="16"/>
      <c r="G170" s="16"/>
      <c r="H170" s="16"/>
      <c r="I170" s="16"/>
      <c r="J170" s="17" t="str">
        <f aca="false">IF(AND(A170="",B170=""),"",IF(SUM(E170:H170)&gt;0,SUM(E170:H170),I170))</f>
        <v/>
      </c>
      <c r="K170" s="17" t="str">
        <f aca="false">IF(J170="","",ROUND(IF(SUM(E170:H170)&gt;0,E170*(1+Config!$C$4)+F170*(1+Config!$C$5)+G170*(1+Config!$C$6)+H170*(1+Config!$C$7),I170*(1+Config!$C$8)),2))</f>
        <v/>
      </c>
      <c r="L170" s="18"/>
      <c r="M170" s="19" t="str">
        <f aca="false">IF(J170="","",IF(L170="",Config!$C$3,L170))</f>
        <v/>
      </c>
      <c r="N170" s="20" t="str">
        <f aca="false">IF(K170="","",ROUND(K170*(1+M170),2))</f>
        <v/>
      </c>
      <c r="O170" s="21"/>
      <c r="P170" s="21"/>
      <c r="Q170" s="22"/>
      <c r="R170" s="22"/>
      <c r="S170" s="23" t="str">
        <f aca="false">IF(A170="","",COUNTIF(Registo!$B$2:$B$501,A170))</f>
        <v/>
      </c>
      <c r="T170" s="17" t="str">
        <f aca="false">IF(OR(A170="",S170=0),"",LOOKUP(2,1/(Registo!$B$2:$B$501=A170),Registo!$E$2:$E$501))</f>
        <v/>
      </c>
      <c r="U170" s="24"/>
    </row>
    <row r="171" customFormat="false" ht="15" hidden="false" customHeight="false" outlineLevel="0" collapsed="false">
      <c r="A171" s="22"/>
      <c r="B171" s="21"/>
      <c r="C171" s="22"/>
      <c r="D171" s="22"/>
      <c r="E171" s="16"/>
      <c r="F171" s="16"/>
      <c r="G171" s="16"/>
      <c r="H171" s="16"/>
      <c r="I171" s="16"/>
      <c r="J171" s="17" t="str">
        <f aca="false">IF(AND(A171="",B171=""),"",IF(SUM(E171:H171)&gt;0,SUM(E171:H171),I171))</f>
        <v/>
      </c>
      <c r="K171" s="17" t="str">
        <f aca="false">IF(J171="","",ROUND(IF(SUM(E171:H171)&gt;0,E171*(1+Config!$C$4)+F171*(1+Config!$C$5)+G171*(1+Config!$C$6)+H171*(1+Config!$C$7),I171*(1+Config!$C$8)),2))</f>
        <v/>
      </c>
      <c r="L171" s="18"/>
      <c r="M171" s="19" t="str">
        <f aca="false">IF(J171="","",IF(L171="",Config!$C$3,L171))</f>
        <v/>
      </c>
      <c r="N171" s="20" t="str">
        <f aca="false">IF(K171="","",ROUND(K171*(1+M171),2))</f>
        <v/>
      </c>
      <c r="O171" s="21"/>
      <c r="P171" s="21"/>
      <c r="Q171" s="22"/>
      <c r="R171" s="22"/>
      <c r="S171" s="23" t="str">
        <f aca="false">IF(A171="","",COUNTIF(Registo!$B$2:$B$501,A171))</f>
        <v/>
      </c>
      <c r="T171" s="17" t="str">
        <f aca="false">IF(OR(A171="",S171=0),"",LOOKUP(2,1/(Registo!$B$2:$B$501=A171),Registo!$E$2:$E$501))</f>
        <v/>
      </c>
      <c r="U171" s="24"/>
    </row>
    <row r="172" customFormat="false" ht="15" hidden="false" customHeight="false" outlineLevel="0" collapsed="false">
      <c r="A172" s="22"/>
      <c r="B172" s="21"/>
      <c r="C172" s="22"/>
      <c r="D172" s="22"/>
      <c r="E172" s="16"/>
      <c r="F172" s="16"/>
      <c r="G172" s="16"/>
      <c r="H172" s="16"/>
      <c r="I172" s="16"/>
      <c r="J172" s="17" t="str">
        <f aca="false">IF(AND(A172="",B172=""),"",IF(SUM(E172:H172)&gt;0,SUM(E172:H172),I172))</f>
        <v/>
      </c>
      <c r="K172" s="17" t="str">
        <f aca="false">IF(J172="","",ROUND(IF(SUM(E172:H172)&gt;0,E172*(1+Config!$C$4)+F172*(1+Config!$C$5)+G172*(1+Config!$C$6)+H172*(1+Config!$C$7),I172*(1+Config!$C$8)),2))</f>
        <v/>
      </c>
      <c r="L172" s="18"/>
      <c r="M172" s="19" t="str">
        <f aca="false">IF(J172="","",IF(L172="",Config!$C$3,L172))</f>
        <v/>
      </c>
      <c r="N172" s="20" t="str">
        <f aca="false">IF(K172="","",ROUND(K172*(1+M172),2))</f>
        <v/>
      </c>
      <c r="O172" s="21"/>
      <c r="P172" s="21"/>
      <c r="Q172" s="22"/>
      <c r="R172" s="22"/>
      <c r="S172" s="23" t="str">
        <f aca="false">IF(A172="","",COUNTIF(Registo!$B$2:$B$501,A172))</f>
        <v/>
      </c>
      <c r="T172" s="17" t="str">
        <f aca="false">IF(OR(A172="",S172=0),"",LOOKUP(2,1/(Registo!$B$2:$B$501=A172),Registo!$E$2:$E$501))</f>
        <v/>
      </c>
      <c r="U172" s="24"/>
    </row>
    <row r="173" customFormat="false" ht="15" hidden="false" customHeight="false" outlineLevel="0" collapsed="false">
      <c r="A173" s="22"/>
      <c r="B173" s="21"/>
      <c r="C173" s="22"/>
      <c r="D173" s="22"/>
      <c r="E173" s="16"/>
      <c r="F173" s="16"/>
      <c r="G173" s="16"/>
      <c r="H173" s="16"/>
      <c r="I173" s="16"/>
      <c r="J173" s="17" t="str">
        <f aca="false">IF(AND(A173="",B173=""),"",IF(SUM(E173:H173)&gt;0,SUM(E173:H173),I173))</f>
        <v/>
      </c>
      <c r="K173" s="17" t="str">
        <f aca="false">IF(J173="","",ROUND(IF(SUM(E173:H173)&gt;0,E173*(1+Config!$C$4)+F173*(1+Config!$C$5)+G173*(1+Config!$C$6)+H173*(1+Config!$C$7),I173*(1+Config!$C$8)),2))</f>
        <v/>
      </c>
      <c r="L173" s="18"/>
      <c r="M173" s="19" t="str">
        <f aca="false">IF(J173="","",IF(L173="",Config!$C$3,L173))</f>
        <v/>
      </c>
      <c r="N173" s="20" t="str">
        <f aca="false">IF(K173="","",ROUND(K173*(1+M173),2))</f>
        <v/>
      </c>
      <c r="O173" s="21"/>
      <c r="P173" s="21"/>
      <c r="Q173" s="22"/>
      <c r="R173" s="22"/>
      <c r="S173" s="23" t="str">
        <f aca="false">IF(A173="","",COUNTIF(Registo!$B$2:$B$501,A173))</f>
        <v/>
      </c>
      <c r="T173" s="17" t="str">
        <f aca="false">IF(OR(A173="",S173=0),"",LOOKUP(2,1/(Registo!$B$2:$B$501=A173),Registo!$E$2:$E$501))</f>
        <v/>
      </c>
      <c r="U173" s="24"/>
    </row>
    <row r="174" customFormat="false" ht="15" hidden="false" customHeight="false" outlineLevel="0" collapsed="false">
      <c r="A174" s="22"/>
      <c r="B174" s="21"/>
      <c r="C174" s="22"/>
      <c r="D174" s="22"/>
      <c r="E174" s="16"/>
      <c r="F174" s="16"/>
      <c r="G174" s="16"/>
      <c r="H174" s="16"/>
      <c r="I174" s="16"/>
      <c r="J174" s="17" t="str">
        <f aca="false">IF(AND(A174="",B174=""),"",IF(SUM(E174:H174)&gt;0,SUM(E174:H174),I174))</f>
        <v/>
      </c>
      <c r="K174" s="17" t="str">
        <f aca="false">IF(J174="","",ROUND(IF(SUM(E174:H174)&gt;0,E174*(1+Config!$C$4)+F174*(1+Config!$C$5)+G174*(1+Config!$C$6)+H174*(1+Config!$C$7),I174*(1+Config!$C$8)),2))</f>
        <v/>
      </c>
      <c r="L174" s="18"/>
      <c r="M174" s="19" t="str">
        <f aca="false">IF(J174="","",IF(L174="",Config!$C$3,L174))</f>
        <v/>
      </c>
      <c r="N174" s="20" t="str">
        <f aca="false">IF(K174="","",ROUND(K174*(1+M174),2))</f>
        <v/>
      </c>
      <c r="O174" s="21"/>
      <c r="P174" s="21"/>
      <c r="Q174" s="22"/>
      <c r="R174" s="22"/>
      <c r="S174" s="23" t="str">
        <f aca="false">IF(A174="","",COUNTIF(Registo!$B$2:$B$501,A174))</f>
        <v/>
      </c>
      <c r="T174" s="17" t="str">
        <f aca="false">IF(OR(A174="",S174=0),"",LOOKUP(2,1/(Registo!$B$2:$B$501=A174),Registo!$E$2:$E$501))</f>
        <v/>
      </c>
      <c r="U174" s="24"/>
    </row>
    <row r="175" customFormat="false" ht="15" hidden="false" customHeight="false" outlineLevel="0" collapsed="false">
      <c r="A175" s="22"/>
      <c r="B175" s="21"/>
      <c r="C175" s="22"/>
      <c r="D175" s="22"/>
      <c r="E175" s="16"/>
      <c r="F175" s="16"/>
      <c r="G175" s="16"/>
      <c r="H175" s="16"/>
      <c r="I175" s="16"/>
      <c r="J175" s="17" t="str">
        <f aca="false">IF(AND(A175="",B175=""),"",IF(SUM(E175:H175)&gt;0,SUM(E175:H175),I175))</f>
        <v/>
      </c>
      <c r="K175" s="17" t="str">
        <f aca="false">IF(J175="","",ROUND(IF(SUM(E175:H175)&gt;0,E175*(1+Config!$C$4)+F175*(1+Config!$C$5)+G175*(1+Config!$C$6)+H175*(1+Config!$C$7),I175*(1+Config!$C$8)),2))</f>
        <v/>
      </c>
      <c r="L175" s="18"/>
      <c r="M175" s="19" t="str">
        <f aca="false">IF(J175="","",IF(L175="",Config!$C$3,L175))</f>
        <v/>
      </c>
      <c r="N175" s="20" t="str">
        <f aca="false">IF(K175="","",ROUND(K175*(1+M175),2))</f>
        <v/>
      </c>
      <c r="O175" s="21"/>
      <c r="P175" s="21"/>
      <c r="Q175" s="22"/>
      <c r="R175" s="22"/>
      <c r="S175" s="23" t="str">
        <f aca="false">IF(A175="","",COUNTIF(Registo!$B$2:$B$501,A175))</f>
        <v/>
      </c>
      <c r="T175" s="17" t="str">
        <f aca="false">IF(OR(A175="",S175=0),"",LOOKUP(2,1/(Registo!$B$2:$B$501=A175),Registo!$E$2:$E$501))</f>
        <v/>
      </c>
      <c r="U175" s="24"/>
    </row>
    <row r="176" customFormat="false" ht="15" hidden="false" customHeight="false" outlineLevel="0" collapsed="false">
      <c r="A176" s="22"/>
      <c r="B176" s="21"/>
      <c r="C176" s="22"/>
      <c r="D176" s="22"/>
      <c r="E176" s="16"/>
      <c r="F176" s="16"/>
      <c r="G176" s="16"/>
      <c r="H176" s="16"/>
      <c r="I176" s="16"/>
      <c r="J176" s="17" t="str">
        <f aca="false">IF(AND(A176="",B176=""),"",IF(SUM(E176:H176)&gt;0,SUM(E176:H176),I176))</f>
        <v/>
      </c>
      <c r="K176" s="17" t="str">
        <f aca="false">IF(J176="","",ROUND(IF(SUM(E176:H176)&gt;0,E176*(1+Config!$C$4)+F176*(1+Config!$C$5)+G176*(1+Config!$C$6)+H176*(1+Config!$C$7),I176*(1+Config!$C$8)),2))</f>
        <v/>
      </c>
      <c r="L176" s="18"/>
      <c r="M176" s="19" t="str">
        <f aca="false">IF(J176="","",IF(L176="",Config!$C$3,L176))</f>
        <v/>
      </c>
      <c r="N176" s="20" t="str">
        <f aca="false">IF(K176="","",ROUND(K176*(1+M176),2))</f>
        <v/>
      </c>
      <c r="O176" s="21"/>
      <c r="P176" s="21"/>
      <c r="Q176" s="22"/>
      <c r="R176" s="22"/>
      <c r="S176" s="23" t="str">
        <f aca="false">IF(A176="","",COUNTIF(Registo!$B$2:$B$501,A176))</f>
        <v/>
      </c>
      <c r="T176" s="17" t="str">
        <f aca="false">IF(OR(A176="",S176=0),"",LOOKUP(2,1/(Registo!$B$2:$B$501=A176),Registo!$E$2:$E$501))</f>
        <v/>
      </c>
      <c r="U176" s="24"/>
    </row>
    <row r="177" customFormat="false" ht="15" hidden="false" customHeight="false" outlineLevel="0" collapsed="false">
      <c r="A177" s="22"/>
      <c r="B177" s="21"/>
      <c r="C177" s="22"/>
      <c r="D177" s="22"/>
      <c r="E177" s="16"/>
      <c r="F177" s="16"/>
      <c r="G177" s="16"/>
      <c r="H177" s="16"/>
      <c r="I177" s="16"/>
      <c r="J177" s="17" t="str">
        <f aca="false">IF(AND(A177="",B177=""),"",IF(SUM(E177:H177)&gt;0,SUM(E177:H177),I177))</f>
        <v/>
      </c>
      <c r="K177" s="17" t="str">
        <f aca="false">IF(J177="","",ROUND(IF(SUM(E177:H177)&gt;0,E177*(1+Config!$C$4)+F177*(1+Config!$C$5)+G177*(1+Config!$C$6)+H177*(1+Config!$C$7),I177*(1+Config!$C$8)),2))</f>
        <v/>
      </c>
      <c r="L177" s="18"/>
      <c r="M177" s="19" t="str">
        <f aca="false">IF(J177="","",IF(L177="",Config!$C$3,L177))</f>
        <v/>
      </c>
      <c r="N177" s="20" t="str">
        <f aca="false">IF(K177="","",ROUND(K177*(1+M177),2))</f>
        <v/>
      </c>
      <c r="O177" s="21"/>
      <c r="P177" s="21"/>
      <c r="Q177" s="22"/>
      <c r="R177" s="22"/>
      <c r="S177" s="23" t="str">
        <f aca="false">IF(A177="","",COUNTIF(Registo!$B$2:$B$501,A177))</f>
        <v/>
      </c>
      <c r="T177" s="17" t="str">
        <f aca="false">IF(OR(A177="",S177=0),"",LOOKUP(2,1/(Registo!$B$2:$B$501=A177),Registo!$E$2:$E$501))</f>
        <v/>
      </c>
      <c r="U177" s="24"/>
    </row>
    <row r="178" customFormat="false" ht="15" hidden="false" customHeight="false" outlineLevel="0" collapsed="false">
      <c r="A178" s="22"/>
      <c r="B178" s="21"/>
      <c r="C178" s="22"/>
      <c r="D178" s="22"/>
      <c r="E178" s="16"/>
      <c r="F178" s="16"/>
      <c r="G178" s="16"/>
      <c r="H178" s="16"/>
      <c r="I178" s="16"/>
      <c r="J178" s="17" t="str">
        <f aca="false">IF(AND(A178="",B178=""),"",IF(SUM(E178:H178)&gt;0,SUM(E178:H178),I178))</f>
        <v/>
      </c>
      <c r="K178" s="17" t="str">
        <f aca="false">IF(J178="","",ROUND(IF(SUM(E178:H178)&gt;0,E178*(1+Config!$C$4)+F178*(1+Config!$C$5)+G178*(1+Config!$C$6)+H178*(1+Config!$C$7),I178*(1+Config!$C$8)),2))</f>
        <v/>
      </c>
      <c r="L178" s="18"/>
      <c r="M178" s="19" t="str">
        <f aca="false">IF(J178="","",IF(L178="",Config!$C$3,L178))</f>
        <v/>
      </c>
      <c r="N178" s="20" t="str">
        <f aca="false">IF(K178="","",ROUND(K178*(1+M178),2))</f>
        <v/>
      </c>
      <c r="O178" s="21"/>
      <c r="P178" s="21"/>
      <c r="Q178" s="22"/>
      <c r="R178" s="22"/>
      <c r="S178" s="23" t="str">
        <f aca="false">IF(A178="","",COUNTIF(Registo!$B$2:$B$501,A178))</f>
        <v/>
      </c>
      <c r="T178" s="17" t="str">
        <f aca="false">IF(OR(A178="",S178=0),"",LOOKUP(2,1/(Registo!$B$2:$B$501=A178),Registo!$E$2:$E$501))</f>
        <v/>
      </c>
      <c r="U178" s="24"/>
    </row>
    <row r="179" customFormat="false" ht="15" hidden="false" customHeight="false" outlineLevel="0" collapsed="false">
      <c r="A179" s="22"/>
      <c r="B179" s="21"/>
      <c r="C179" s="22"/>
      <c r="D179" s="22"/>
      <c r="E179" s="16"/>
      <c r="F179" s="16"/>
      <c r="G179" s="16"/>
      <c r="H179" s="16"/>
      <c r="I179" s="16"/>
      <c r="J179" s="17" t="str">
        <f aca="false">IF(AND(A179="",B179=""),"",IF(SUM(E179:H179)&gt;0,SUM(E179:H179),I179))</f>
        <v/>
      </c>
      <c r="K179" s="17" t="str">
        <f aca="false">IF(J179="","",ROUND(IF(SUM(E179:H179)&gt;0,E179*(1+Config!$C$4)+F179*(1+Config!$C$5)+G179*(1+Config!$C$6)+H179*(1+Config!$C$7),I179*(1+Config!$C$8)),2))</f>
        <v/>
      </c>
      <c r="L179" s="18"/>
      <c r="M179" s="19" t="str">
        <f aca="false">IF(J179="","",IF(L179="",Config!$C$3,L179))</f>
        <v/>
      </c>
      <c r="N179" s="20" t="str">
        <f aca="false">IF(K179="","",ROUND(K179*(1+M179),2))</f>
        <v/>
      </c>
      <c r="O179" s="21"/>
      <c r="P179" s="21"/>
      <c r="Q179" s="22"/>
      <c r="R179" s="22"/>
      <c r="S179" s="23" t="str">
        <f aca="false">IF(A179="","",COUNTIF(Registo!$B$2:$B$501,A179))</f>
        <v/>
      </c>
      <c r="T179" s="17" t="str">
        <f aca="false">IF(OR(A179="",S179=0),"",LOOKUP(2,1/(Registo!$B$2:$B$501=A179),Registo!$E$2:$E$501))</f>
        <v/>
      </c>
      <c r="U179" s="24"/>
    </row>
    <row r="180" customFormat="false" ht="15" hidden="false" customHeight="false" outlineLevel="0" collapsed="false">
      <c r="A180" s="22"/>
      <c r="B180" s="21"/>
      <c r="C180" s="22"/>
      <c r="D180" s="22"/>
      <c r="E180" s="16"/>
      <c r="F180" s="16"/>
      <c r="G180" s="16"/>
      <c r="H180" s="16"/>
      <c r="I180" s="16"/>
      <c r="J180" s="17" t="str">
        <f aca="false">IF(AND(A180="",B180=""),"",IF(SUM(E180:H180)&gt;0,SUM(E180:H180),I180))</f>
        <v/>
      </c>
      <c r="K180" s="17" t="str">
        <f aca="false">IF(J180="","",ROUND(IF(SUM(E180:H180)&gt;0,E180*(1+Config!$C$4)+F180*(1+Config!$C$5)+G180*(1+Config!$C$6)+H180*(1+Config!$C$7),I180*(1+Config!$C$8)),2))</f>
        <v/>
      </c>
      <c r="L180" s="18"/>
      <c r="M180" s="19" t="str">
        <f aca="false">IF(J180="","",IF(L180="",Config!$C$3,L180))</f>
        <v/>
      </c>
      <c r="N180" s="20" t="str">
        <f aca="false">IF(K180="","",ROUND(K180*(1+M180),2))</f>
        <v/>
      </c>
      <c r="O180" s="21"/>
      <c r="P180" s="21"/>
      <c r="Q180" s="22"/>
      <c r="R180" s="22"/>
      <c r="S180" s="23" t="str">
        <f aca="false">IF(A180="","",COUNTIF(Registo!$B$2:$B$501,A180))</f>
        <v/>
      </c>
      <c r="T180" s="17" t="str">
        <f aca="false">IF(OR(A180="",S180=0),"",LOOKUP(2,1/(Registo!$B$2:$B$501=A180),Registo!$E$2:$E$501))</f>
        <v/>
      </c>
      <c r="U180" s="24"/>
    </row>
    <row r="181" customFormat="false" ht="15" hidden="false" customHeight="false" outlineLevel="0" collapsed="false">
      <c r="A181" s="22"/>
      <c r="B181" s="21"/>
      <c r="C181" s="22"/>
      <c r="D181" s="22"/>
      <c r="E181" s="16"/>
      <c r="F181" s="16"/>
      <c r="G181" s="16"/>
      <c r="H181" s="16"/>
      <c r="I181" s="16"/>
      <c r="J181" s="17" t="str">
        <f aca="false">IF(AND(A181="",B181=""),"",IF(SUM(E181:H181)&gt;0,SUM(E181:H181),I181))</f>
        <v/>
      </c>
      <c r="K181" s="17" t="str">
        <f aca="false">IF(J181="","",ROUND(IF(SUM(E181:H181)&gt;0,E181*(1+Config!$C$4)+F181*(1+Config!$C$5)+G181*(1+Config!$C$6)+H181*(1+Config!$C$7),I181*(1+Config!$C$8)),2))</f>
        <v/>
      </c>
      <c r="L181" s="18"/>
      <c r="M181" s="19" t="str">
        <f aca="false">IF(J181="","",IF(L181="",Config!$C$3,L181))</f>
        <v/>
      </c>
      <c r="N181" s="20" t="str">
        <f aca="false">IF(K181="","",ROUND(K181*(1+M181),2))</f>
        <v/>
      </c>
      <c r="O181" s="21"/>
      <c r="P181" s="21"/>
      <c r="Q181" s="22"/>
      <c r="R181" s="22"/>
      <c r="S181" s="23" t="str">
        <f aca="false">IF(A181="","",COUNTIF(Registo!$B$2:$B$501,A181))</f>
        <v/>
      </c>
      <c r="T181" s="17" t="str">
        <f aca="false">IF(OR(A181="",S181=0),"",LOOKUP(2,1/(Registo!$B$2:$B$501=A181),Registo!$E$2:$E$501))</f>
        <v/>
      </c>
      <c r="U181" s="24"/>
    </row>
    <row r="182" customFormat="false" ht="15" hidden="false" customHeight="false" outlineLevel="0" collapsed="false">
      <c r="A182" s="22"/>
      <c r="B182" s="21"/>
      <c r="C182" s="22"/>
      <c r="D182" s="22"/>
      <c r="E182" s="16"/>
      <c r="F182" s="16"/>
      <c r="G182" s="16"/>
      <c r="H182" s="16"/>
      <c r="I182" s="16"/>
      <c r="J182" s="17" t="str">
        <f aca="false">IF(AND(A182="",B182=""),"",IF(SUM(E182:H182)&gt;0,SUM(E182:H182),I182))</f>
        <v/>
      </c>
      <c r="K182" s="17" t="str">
        <f aca="false">IF(J182="","",ROUND(IF(SUM(E182:H182)&gt;0,E182*(1+Config!$C$4)+F182*(1+Config!$C$5)+G182*(1+Config!$C$6)+H182*(1+Config!$C$7),I182*(1+Config!$C$8)),2))</f>
        <v/>
      </c>
      <c r="L182" s="18"/>
      <c r="M182" s="19" t="str">
        <f aca="false">IF(J182="","",IF(L182="",Config!$C$3,L182))</f>
        <v/>
      </c>
      <c r="N182" s="20" t="str">
        <f aca="false">IF(K182="","",ROUND(K182*(1+M182),2))</f>
        <v/>
      </c>
      <c r="O182" s="21"/>
      <c r="P182" s="21"/>
      <c r="Q182" s="22"/>
      <c r="R182" s="22"/>
      <c r="S182" s="23" t="str">
        <f aca="false">IF(A182="","",COUNTIF(Registo!$B$2:$B$501,A182))</f>
        <v/>
      </c>
      <c r="T182" s="17" t="str">
        <f aca="false">IF(OR(A182="",S182=0),"",LOOKUP(2,1/(Registo!$B$2:$B$501=A182),Registo!$E$2:$E$501))</f>
        <v/>
      </c>
      <c r="U182" s="24"/>
    </row>
    <row r="183" customFormat="false" ht="15" hidden="false" customHeight="false" outlineLevel="0" collapsed="false">
      <c r="A183" s="22"/>
      <c r="B183" s="21"/>
      <c r="C183" s="22"/>
      <c r="D183" s="22"/>
      <c r="E183" s="16"/>
      <c r="F183" s="16"/>
      <c r="G183" s="16"/>
      <c r="H183" s="16"/>
      <c r="I183" s="16"/>
      <c r="J183" s="17" t="str">
        <f aca="false">IF(AND(A183="",B183=""),"",IF(SUM(E183:H183)&gt;0,SUM(E183:H183),I183))</f>
        <v/>
      </c>
      <c r="K183" s="17" t="str">
        <f aca="false">IF(J183="","",ROUND(IF(SUM(E183:H183)&gt;0,E183*(1+Config!$C$4)+F183*(1+Config!$C$5)+G183*(1+Config!$C$6)+H183*(1+Config!$C$7),I183*(1+Config!$C$8)),2))</f>
        <v/>
      </c>
      <c r="L183" s="18"/>
      <c r="M183" s="19" t="str">
        <f aca="false">IF(J183="","",IF(L183="",Config!$C$3,L183))</f>
        <v/>
      </c>
      <c r="N183" s="20" t="str">
        <f aca="false">IF(K183="","",ROUND(K183*(1+M183),2))</f>
        <v/>
      </c>
      <c r="O183" s="21"/>
      <c r="P183" s="21"/>
      <c r="Q183" s="22"/>
      <c r="R183" s="22"/>
      <c r="S183" s="23" t="str">
        <f aca="false">IF(A183="","",COUNTIF(Registo!$B$2:$B$501,A183))</f>
        <v/>
      </c>
      <c r="T183" s="17" t="str">
        <f aca="false">IF(OR(A183="",S183=0),"",LOOKUP(2,1/(Registo!$B$2:$B$501=A183),Registo!$E$2:$E$501))</f>
        <v/>
      </c>
      <c r="U183" s="24"/>
    </row>
    <row r="184" customFormat="false" ht="15" hidden="false" customHeight="false" outlineLevel="0" collapsed="false">
      <c r="A184" s="22"/>
      <c r="B184" s="21"/>
      <c r="C184" s="22"/>
      <c r="D184" s="22"/>
      <c r="E184" s="16"/>
      <c r="F184" s="16"/>
      <c r="G184" s="16"/>
      <c r="H184" s="16"/>
      <c r="I184" s="16"/>
      <c r="J184" s="17" t="str">
        <f aca="false">IF(AND(A184="",B184=""),"",IF(SUM(E184:H184)&gt;0,SUM(E184:H184),I184))</f>
        <v/>
      </c>
      <c r="K184" s="17" t="str">
        <f aca="false">IF(J184="","",ROUND(IF(SUM(E184:H184)&gt;0,E184*(1+Config!$C$4)+F184*(1+Config!$C$5)+G184*(1+Config!$C$6)+H184*(1+Config!$C$7),I184*(1+Config!$C$8)),2))</f>
        <v/>
      </c>
      <c r="L184" s="18"/>
      <c r="M184" s="19" t="str">
        <f aca="false">IF(J184="","",IF(L184="",Config!$C$3,L184))</f>
        <v/>
      </c>
      <c r="N184" s="20" t="str">
        <f aca="false">IF(K184="","",ROUND(K184*(1+M184),2))</f>
        <v/>
      </c>
      <c r="O184" s="21"/>
      <c r="P184" s="21"/>
      <c r="Q184" s="22"/>
      <c r="R184" s="22"/>
      <c r="S184" s="23" t="str">
        <f aca="false">IF(A184="","",COUNTIF(Registo!$B$2:$B$501,A184))</f>
        <v/>
      </c>
      <c r="T184" s="17" t="str">
        <f aca="false">IF(OR(A184="",S184=0),"",LOOKUP(2,1/(Registo!$B$2:$B$501=A184),Registo!$E$2:$E$501))</f>
        <v/>
      </c>
      <c r="U184" s="24"/>
    </row>
    <row r="185" customFormat="false" ht="15" hidden="false" customHeight="false" outlineLevel="0" collapsed="false">
      <c r="A185" s="22"/>
      <c r="B185" s="21"/>
      <c r="C185" s="22"/>
      <c r="D185" s="22"/>
      <c r="E185" s="16"/>
      <c r="F185" s="16"/>
      <c r="G185" s="16"/>
      <c r="H185" s="16"/>
      <c r="I185" s="16"/>
      <c r="J185" s="17" t="str">
        <f aca="false">IF(AND(A185="",B185=""),"",IF(SUM(E185:H185)&gt;0,SUM(E185:H185),I185))</f>
        <v/>
      </c>
      <c r="K185" s="17" t="str">
        <f aca="false">IF(J185="","",ROUND(IF(SUM(E185:H185)&gt;0,E185*(1+Config!$C$4)+F185*(1+Config!$C$5)+G185*(1+Config!$C$6)+H185*(1+Config!$C$7),I185*(1+Config!$C$8)),2))</f>
        <v/>
      </c>
      <c r="L185" s="18"/>
      <c r="M185" s="19" t="str">
        <f aca="false">IF(J185="","",IF(L185="",Config!$C$3,L185))</f>
        <v/>
      </c>
      <c r="N185" s="20" t="str">
        <f aca="false">IF(K185="","",ROUND(K185*(1+M185),2))</f>
        <v/>
      </c>
      <c r="O185" s="21"/>
      <c r="P185" s="21"/>
      <c r="Q185" s="22"/>
      <c r="R185" s="22"/>
      <c r="S185" s="23" t="str">
        <f aca="false">IF(A185="","",COUNTIF(Registo!$B$2:$B$501,A185))</f>
        <v/>
      </c>
      <c r="T185" s="17" t="str">
        <f aca="false">IF(OR(A185="",S185=0),"",LOOKUP(2,1/(Registo!$B$2:$B$501=A185),Registo!$E$2:$E$501))</f>
        <v/>
      </c>
      <c r="U185" s="24"/>
    </row>
    <row r="186" customFormat="false" ht="15" hidden="false" customHeight="false" outlineLevel="0" collapsed="false">
      <c r="A186" s="22"/>
      <c r="B186" s="21"/>
      <c r="C186" s="22"/>
      <c r="D186" s="22"/>
      <c r="E186" s="16"/>
      <c r="F186" s="16"/>
      <c r="G186" s="16"/>
      <c r="H186" s="16"/>
      <c r="I186" s="16"/>
      <c r="J186" s="17" t="str">
        <f aca="false">IF(AND(A186="",B186=""),"",IF(SUM(E186:H186)&gt;0,SUM(E186:H186),I186))</f>
        <v/>
      </c>
      <c r="K186" s="17" t="str">
        <f aca="false">IF(J186="","",ROUND(IF(SUM(E186:H186)&gt;0,E186*(1+Config!$C$4)+F186*(1+Config!$C$5)+G186*(1+Config!$C$6)+H186*(1+Config!$C$7),I186*(1+Config!$C$8)),2))</f>
        <v/>
      </c>
      <c r="L186" s="18"/>
      <c r="M186" s="19" t="str">
        <f aca="false">IF(J186="","",IF(L186="",Config!$C$3,L186))</f>
        <v/>
      </c>
      <c r="N186" s="20" t="str">
        <f aca="false">IF(K186="","",ROUND(K186*(1+M186),2))</f>
        <v/>
      </c>
      <c r="O186" s="21"/>
      <c r="P186" s="21"/>
      <c r="Q186" s="22"/>
      <c r="R186" s="22"/>
      <c r="S186" s="23" t="str">
        <f aca="false">IF(A186="","",COUNTIF(Registo!$B$2:$B$501,A186))</f>
        <v/>
      </c>
      <c r="T186" s="17" t="str">
        <f aca="false">IF(OR(A186="",S186=0),"",LOOKUP(2,1/(Registo!$B$2:$B$501=A186),Registo!$E$2:$E$501))</f>
        <v/>
      </c>
      <c r="U186" s="24"/>
    </row>
    <row r="187" customFormat="false" ht="15" hidden="false" customHeight="false" outlineLevel="0" collapsed="false">
      <c r="A187" s="22"/>
      <c r="B187" s="21"/>
      <c r="C187" s="22"/>
      <c r="D187" s="22"/>
      <c r="E187" s="16"/>
      <c r="F187" s="16"/>
      <c r="G187" s="16"/>
      <c r="H187" s="16"/>
      <c r="I187" s="16"/>
      <c r="J187" s="17" t="str">
        <f aca="false">IF(AND(A187="",B187=""),"",IF(SUM(E187:H187)&gt;0,SUM(E187:H187),I187))</f>
        <v/>
      </c>
      <c r="K187" s="17" t="str">
        <f aca="false">IF(J187="","",ROUND(IF(SUM(E187:H187)&gt;0,E187*(1+Config!$C$4)+F187*(1+Config!$C$5)+G187*(1+Config!$C$6)+H187*(1+Config!$C$7),I187*(1+Config!$C$8)),2))</f>
        <v/>
      </c>
      <c r="L187" s="18"/>
      <c r="M187" s="19" t="str">
        <f aca="false">IF(J187="","",IF(L187="",Config!$C$3,L187))</f>
        <v/>
      </c>
      <c r="N187" s="20" t="str">
        <f aca="false">IF(K187="","",ROUND(K187*(1+M187),2))</f>
        <v/>
      </c>
      <c r="O187" s="21"/>
      <c r="P187" s="21"/>
      <c r="Q187" s="22"/>
      <c r="R187" s="22"/>
      <c r="S187" s="23" t="str">
        <f aca="false">IF(A187="","",COUNTIF(Registo!$B$2:$B$501,A187))</f>
        <v/>
      </c>
      <c r="T187" s="17" t="str">
        <f aca="false">IF(OR(A187="",S187=0),"",LOOKUP(2,1/(Registo!$B$2:$B$501=A187),Registo!$E$2:$E$501))</f>
        <v/>
      </c>
      <c r="U187" s="24"/>
    </row>
    <row r="188" customFormat="false" ht="15" hidden="false" customHeight="false" outlineLevel="0" collapsed="false">
      <c r="A188" s="22"/>
      <c r="B188" s="21"/>
      <c r="C188" s="22"/>
      <c r="D188" s="22"/>
      <c r="E188" s="16"/>
      <c r="F188" s="16"/>
      <c r="G188" s="16"/>
      <c r="H188" s="16"/>
      <c r="I188" s="16"/>
      <c r="J188" s="17" t="str">
        <f aca="false">IF(AND(A188="",B188=""),"",IF(SUM(E188:H188)&gt;0,SUM(E188:H188),I188))</f>
        <v/>
      </c>
      <c r="K188" s="17" t="str">
        <f aca="false">IF(J188="","",ROUND(IF(SUM(E188:H188)&gt;0,E188*(1+Config!$C$4)+F188*(1+Config!$C$5)+G188*(1+Config!$C$6)+H188*(1+Config!$C$7),I188*(1+Config!$C$8)),2))</f>
        <v/>
      </c>
      <c r="L188" s="18"/>
      <c r="M188" s="19" t="str">
        <f aca="false">IF(J188="","",IF(L188="",Config!$C$3,L188))</f>
        <v/>
      </c>
      <c r="N188" s="20" t="str">
        <f aca="false">IF(K188="","",ROUND(K188*(1+M188),2))</f>
        <v/>
      </c>
      <c r="O188" s="21"/>
      <c r="P188" s="21"/>
      <c r="Q188" s="22"/>
      <c r="R188" s="22"/>
      <c r="S188" s="23" t="str">
        <f aca="false">IF(A188="","",COUNTIF(Registo!$B$2:$B$501,A188))</f>
        <v/>
      </c>
      <c r="T188" s="17" t="str">
        <f aca="false">IF(OR(A188="",S188=0),"",LOOKUP(2,1/(Registo!$B$2:$B$501=A188),Registo!$E$2:$E$501))</f>
        <v/>
      </c>
      <c r="U188" s="24"/>
    </row>
    <row r="189" customFormat="false" ht="15" hidden="false" customHeight="false" outlineLevel="0" collapsed="false">
      <c r="A189" s="22"/>
      <c r="B189" s="21"/>
      <c r="C189" s="22"/>
      <c r="D189" s="22"/>
      <c r="E189" s="16"/>
      <c r="F189" s="16"/>
      <c r="G189" s="16"/>
      <c r="H189" s="16"/>
      <c r="I189" s="16"/>
      <c r="J189" s="17" t="str">
        <f aca="false">IF(AND(A189="",B189=""),"",IF(SUM(E189:H189)&gt;0,SUM(E189:H189),I189))</f>
        <v/>
      </c>
      <c r="K189" s="17" t="str">
        <f aca="false">IF(J189="","",ROUND(IF(SUM(E189:H189)&gt;0,E189*(1+Config!$C$4)+F189*(1+Config!$C$5)+G189*(1+Config!$C$6)+H189*(1+Config!$C$7),I189*(1+Config!$C$8)),2))</f>
        <v/>
      </c>
      <c r="L189" s="18"/>
      <c r="M189" s="19" t="str">
        <f aca="false">IF(J189="","",IF(L189="",Config!$C$3,L189))</f>
        <v/>
      </c>
      <c r="N189" s="20" t="str">
        <f aca="false">IF(K189="","",ROUND(K189*(1+M189),2))</f>
        <v/>
      </c>
      <c r="O189" s="21"/>
      <c r="P189" s="21"/>
      <c r="Q189" s="22"/>
      <c r="R189" s="22"/>
      <c r="S189" s="23" t="str">
        <f aca="false">IF(A189="","",COUNTIF(Registo!$B$2:$B$501,A189))</f>
        <v/>
      </c>
      <c r="T189" s="17" t="str">
        <f aca="false">IF(OR(A189="",S189=0),"",LOOKUP(2,1/(Registo!$B$2:$B$501=A189),Registo!$E$2:$E$501))</f>
        <v/>
      </c>
      <c r="U189" s="24"/>
    </row>
    <row r="190" customFormat="false" ht="15" hidden="false" customHeight="false" outlineLevel="0" collapsed="false">
      <c r="A190" s="22"/>
      <c r="B190" s="21"/>
      <c r="C190" s="22"/>
      <c r="D190" s="22"/>
      <c r="E190" s="16"/>
      <c r="F190" s="16"/>
      <c r="G190" s="16"/>
      <c r="H190" s="16"/>
      <c r="I190" s="16"/>
      <c r="J190" s="17" t="str">
        <f aca="false">IF(AND(A190="",B190=""),"",IF(SUM(E190:H190)&gt;0,SUM(E190:H190),I190))</f>
        <v/>
      </c>
      <c r="K190" s="17" t="str">
        <f aca="false">IF(J190="","",ROUND(IF(SUM(E190:H190)&gt;0,E190*(1+Config!$C$4)+F190*(1+Config!$C$5)+G190*(1+Config!$C$6)+H190*(1+Config!$C$7),I190*(1+Config!$C$8)),2))</f>
        <v/>
      </c>
      <c r="L190" s="18"/>
      <c r="M190" s="19" t="str">
        <f aca="false">IF(J190="","",IF(L190="",Config!$C$3,L190))</f>
        <v/>
      </c>
      <c r="N190" s="20" t="str">
        <f aca="false">IF(K190="","",ROUND(K190*(1+M190),2))</f>
        <v/>
      </c>
      <c r="O190" s="21"/>
      <c r="P190" s="21"/>
      <c r="Q190" s="22"/>
      <c r="R190" s="22"/>
      <c r="S190" s="23" t="str">
        <f aca="false">IF(A190="","",COUNTIF(Registo!$B$2:$B$501,A190))</f>
        <v/>
      </c>
      <c r="T190" s="17" t="str">
        <f aca="false">IF(OR(A190="",S190=0),"",LOOKUP(2,1/(Registo!$B$2:$B$501=A190),Registo!$E$2:$E$501))</f>
        <v/>
      </c>
      <c r="U190" s="24"/>
    </row>
    <row r="191" customFormat="false" ht="15" hidden="false" customHeight="false" outlineLevel="0" collapsed="false">
      <c r="A191" s="22"/>
      <c r="B191" s="21"/>
      <c r="C191" s="22"/>
      <c r="D191" s="22"/>
      <c r="E191" s="16"/>
      <c r="F191" s="16"/>
      <c r="G191" s="16"/>
      <c r="H191" s="16"/>
      <c r="I191" s="16"/>
      <c r="J191" s="17" t="str">
        <f aca="false">IF(AND(A191="",B191=""),"",IF(SUM(E191:H191)&gt;0,SUM(E191:H191),I191))</f>
        <v/>
      </c>
      <c r="K191" s="17" t="str">
        <f aca="false">IF(J191="","",ROUND(IF(SUM(E191:H191)&gt;0,E191*(1+Config!$C$4)+F191*(1+Config!$C$5)+G191*(1+Config!$C$6)+H191*(1+Config!$C$7),I191*(1+Config!$C$8)),2))</f>
        <v/>
      </c>
      <c r="L191" s="18"/>
      <c r="M191" s="19" t="str">
        <f aca="false">IF(J191="","",IF(L191="",Config!$C$3,L191))</f>
        <v/>
      </c>
      <c r="N191" s="20" t="str">
        <f aca="false">IF(K191="","",ROUND(K191*(1+M191),2))</f>
        <v/>
      </c>
      <c r="O191" s="21"/>
      <c r="P191" s="21"/>
      <c r="Q191" s="22"/>
      <c r="R191" s="22"/>
      <c r="S191" s="23" t="str">
        <f aca="false">IF(A191="","",COUNTIF(Registo!$B$2:$B$501,A191))</f>
        <v/>
      </c>
      <c r="T191" s="17" t="str">
        <f aca="false">IF(OR(A191="",S191=0),"",LOOKUP(2,1/(Registo!$B$2:$B$501=A191),Registo!$E$2:$E$501))</f>
        <v/>
      </c>
      <c r="U191" s="24"/>
    </row>
    <row r="192" customFormat="false" ht="15" hidden="false" customHeight="false" outlineLevel="0" collapsed="false">
      <c r="A192" s="22"/>
      <c r="B192" s="21"/>
      <c r="C192" s="22"/>
      <c r="D192" s="22"/>
      <c r="E192" s="16"/>
      <c r="F192" s="16"/>
      <c r="G192" s="16"/>
      <c r="H192" s="16"/>
      <c r="I192" s="16"/>
      <c r="J192" s="17" t="str">
        <f aca="false">IF(AND(A192="",B192=""),"",IF(SUM(E192:H192)&gt;0,SUM(E192:H192),I192))</f>
        <v/>
      </c>
      <c r="K192" s="17" t="str">
        <f aca="false">IF(J192="","",ROUND(IF(SUM(E192:H192)&gt;0,E192*(1+Config!$C$4)+F192*(1+Config!$C$5)+G192*(1+Config!$C$6)+H192*(1+Config!$C$7),I192*(1+Config!$C$8)),2))</f>
        <v/>
      </c>
      <c r="L192" s="18"/>
      <c r="M192" s="19" t="str">
        <f aca="false">IF(J192="","",IF(L192="",Config!$C$3,L192))</f>
        <v/>
      </c>
      <c r="N192" s="20" t="str">
        <f aca="false">IF(K192="","",ROUND(K192*(1+M192),2))</f>
        <v/>
      </c>
      <c r="O192" s="21"/>
      <c r="P192" s="21"/>
      <c r="Q192" s="22"/>
      <c r="R192" s="22"/>
      <c r="S192" s="23" t="str">
        <f aca="false">IF(A192="","",COUNTIF(Registo!$B$2:$B$501,A192))</f>
        <v/>
      </c>
      <c r="T192" s="17" t="str">
        <f aca="false">IF(OR(A192="",S192=0),"",LOOKUP(2,1/(Registo!$B$2:$B$501=A192),Registo!$E$2:$E$501))</f>
        <v/>
      </c>
      <c r="U192" s="24"/>
    </row>
    <row r="193" customFormat="false" ht="15" hidden="false" customHeight="false" outlineLevel="0" collapsed="false">
      <c r="A193" s="22"/>
      <c r="B193" s="21"/>
      <c r="C193" s="22"/>
      <c r="D193" s="22"/>
      <c r="E193" s="16"/>
      <c r="F193" s="16"/>
      <c r="G193" s="16"/>
      <c r="H193" s="16"/>
      <c r="I193" s="16"/>
      <c r="J193" s="17" t="str">
        <f aca="false">IF(AND(A193="",B193=""),"",IF(SUM(E193:H193)&gt;0,SUM(E193:H193),I193))</f>
        <v/>
      </c>
      <c r="K193" s="17" t="str">
        <f aca="false">IF(J193="","",ROUND(IF(SUM(E193:H193)&gt;0,E193*(1+Config!$C$4)+F193*(1+Config!$C$5)+G193*(1+Config!$C$6)+H193*(1+Config!$C$7),I193*(1+Config!$C$8)),2))</f>
        <v/>
      </c>
      <c r="L193" s="18"/>
      <c r="M193" s="19" t="str">
        <f aca="false">IF(J193="","",IF(L193="",Config!$C$3,L193))</f>
        <v/>
      </c>
      <c r="N193" s="20" t="str">
        <f aca="false">IF(K193="","",ROUND(K193*(1+M193),2))</f>
        <v/>
      </c>
      <c r="O193" s="21"/>
      <c r="P193" s="21"/>
      <c r="Q193" s="22"/>
      <c r="R193" s="22"/>
      <c r="S193" s="23" t="str">
        <f aca="false">IF(A193="","",COUNTIF(Registo!$B$2:$B$501,A193))</f>
        <v/>
      </c>
      <c r="T193" s="17" t="str">
        <f aca="false">IF(OR(A193="",S193=0),"",LOOKUP(2,1/(Registo!$B$2:$B$501=A193),Registo!$E$2:$E$501))</f>
        <v/>
      </c>
      <c r="U193" s="24"/>
    </row>
    <row r="194" customFormat="false" ht="15" hidden="false" customHeight="false" outlineLevel="0" collapsed="false">
      <c r="A194" s="22"/>
      <c r="B194" s="21"/>
      <c r="C194" s="22"/>
      <c r="D194" s="22"/>
      <c r="E194" s="16"/>
      <c r="F194" s="16"/>
      <c r="G194" s="16"/>
      <c r="H194" s="16"/>
      <c r="I194" s="16"/>
      <c r="J194" s="17" t="str">
        <f aca="false">IF(AND(A194="",B194=""),"",IF(SUM(E194:H194)&gt;0,SUM(E194:H194),I194))</f>
        <v/>
      </c>
      <c r="K194" s="17" t="str">
        <f aca="false">IF(J194="","",ROUND(IF(SUM(E194:H194)&gt;0,E194*(1+Config!$C$4)+F194*(1+Config!$C$5)+G194*(1+Config!$C$6)+H194*(1+Config!$C$7),I194*(1+Config!$C$8)),2))</f>
        <v/>
      </c>
      <c r="L194" s="18"/>
      <c r="M194" s="19" t="str">
        <f aca="false">IF(J194="","",IF(L194="",Config!$C$3,L194))</f>
        <v/>
      </c>
      <c r="N194" s="20" t="str">
        <f aca="false">IF(K194="","",ROUND(K194*(1+M194),2))</f>
        <v/>
      </c>
      <c r="O194" s="21"/>
      <c r="P194" s="21"/>
      <c r="Q194" s="22"/>
      <c r="R194" s="22"/>
      <c r="S194" s="23" t="str">
        <f aca="false">IF(A194="","",COUNTIF(Registo!$B$2:$B$501,A194))</f>
        <v/>
      </c>
      <c r="T194" s="17" t="str">
        <f aca="false">IF(OR(A194="",S194=0),"",LOOKUP(2,1/(Registo!$B$2:$B$501=A194),Registo!$E$2:$E$501))</f>
        <v/>
      </c>
      <c r="U194" s="24"/>
    </row>
    <row r="195" customFormat="false" ht="15" hidden="false" customHeight="false" outlineLevel="0" collapsed="false">
      <c r="A195" s="22"/>
      <c r="B195" s="21"/>
      <c r="C195" s="22"/>
      <c r="D195" s="22"/>
      <c r="E195" s="16"/>
      <c r="F195" s="16"/>
      <c r="G195" s="16"/>
      <c r="H195" s="16"/>
      <c r="I195" s="16"/>
      <c r="J195" s="17" t="str">
        <f aca="false">IF(AND(A195="",B195=""),"",IF(SUM(E195:H195)&gt;0,SUM(E195:H195),I195))</f>
        <v/>
      </c>
      <c r="K195" s="17" t="str">
        <f aca="false">IF(J195="","",ROUND(IF(SUM(E195:H195)&gt;0,E195*(1+Config!$C$4)+F195*(1+Config!$C$5)+G195*(1+Config!$C$6)+H195*(1+Config!$C$7),I195*(1+Config!$C$8)),2))</f>
        <v/>
      </c>
      <c r="L195" s="18"/>
      <c r="M195" s="19" t="str">
        <f aca="false">IF(J195="","",IF(L195="",Config!$C$3,L195))</f>
        <v/>
      </c>
      <c r="N195" s="20" t="str">
        <f aca="false">IF(K195="","",ROUND(K195*(1+M195),2))</f>
        <v/>
      </c>
      <c r="O195" s="21"/>
      <c r="P195" s="21"/>
      <c r="Q195" s="22"/>
      <c r="R195" s="22"/>
      <c r="S195" s="23" t="str">
        <f aca="false">IF(A195="","",COUNTIF(Registo!$B$2:$B$501,A195))</f>
        <v/>
      </c>
      <c r="T195" s="17" t="str">
        <f aca="false">IF(OR(A195="",S195=0),"",LOOKUP(2,1/(Registo!$B$2:$B$501=A195),Registo!$E$2:$E$501))</f>
        <v/>
      </c>
      <c r="U195" s="24"/>
    </row>
    <row r="196" customFormat="false" ht="15" hidden="false" customHeight="false" outlineLevel="0" collapsed="false">
      <c r="A196" s="22"/>
      <c r="B196" s="21"/>
      <c r="C196" s="22"/>
      <c r="D196" s="22"/>
      <c r="E196" s="16"/>
      <c r="F196" s="16"/>
      <c r="G196" s="16"/>
      <c r="H196" s="16"/>
      <c r="I196" s="16"/>
      <c r="J196" s="17" t="str">
        <f aca="false">IF(AND(A196="",B196=""),"",IF(SUM(E196:H196)&gt;0,SUM(E196:H196),I196))</f>
        <v/>
      </c>
      <c r="K196" s="17" t="str">
        <f aca="false">IF(J196="","",ROUND(IF(SUM(E196:H196)&gt;0,E196*(1+Config!$C$4)+F196*(1+Config!$C$5)+G196*(1+Config!$C$6)+H196*(1+Config!$C$7),I196*(1+Config!$C$8)),2))</f>
        <v/>
      </c>
      <c r="L196" s="18"/>
      <c r="M196" s="19" t="str">
        <f aca="false">IF(J196="","",IF(L196="",Config!$C$3,L196))</f>
        <v/>
      </c>
      <c r="N196" s="20" t="str">
        <f aca="false">IF(K196="","",ROUND(K196*(1+M196),2))</f>
        <v/>
      </c>
      <c r="O196" s="21"/>
      <c r="P196" s="21"/>
      <c r="Q196" s="22"/>
      <c r="R196" s="22"/>
      <c r="S196" s="23" t="str">
        <f aca="false">IF(A196="","",COUNTIF(Registo!$B$2:$B$501,A196))</f>
        <v/>
      </c>
      <c r="T196" s="17" t="str">
        <f aca="false">IF(OR(A196="",S196=0),"",LOOKUP(2,1/(Registo!$B$2:$B$501=A196),Registo!$E$2:$E$501))</f>
        <v/>
      </c>
      <c r="U196" s="24"/>
    </row>
    <row r="197" customFormat="false" ht="15" hidden="false" customHeight="false" outlineLevel="0" collapsed="false">
      <c r="A197" s="22"/>
      <c r="B197" s="21"/>
      <c r="C197" s="22"/>
      <c r="D197" s="22"/>
      <c r="E197" s="16"/>
      <c r="F197" s="16"/>
      <c r="G197" s="16"/>
      <c r="H197" s="16"/>
      <c r="I197" s="16"/>
      <c r="J197" s="17" t="str">
        <f aca="false">IF(AND(A197="",B197=""),"",IF(SUM(E197:H197)&gt;0,SUM(E197:H197),I197))</f>
        <v/>
      </c>
      <c r="K197" s="17" t="str">
        <f aca="false">IF(J197="","",ROUND(IF(SUM(E197:H197)&gt;0,E197*(1+Config!$C$4)+F197*(1+Config!$C$5)+G197*(1+Config!$C$6)+H197*(1+Config!$C$7),I197*(1+Config!$C$8)),2))</f>
        <v/>
      </c>
      <c r="L197" s="18"/>
      <c r="M197" s="19" t="str">
        <f aca="false">IF(J197="","",IF(L197="",Config!$C$3,L197))</f>
        <v/>
      </c>
      <c r="N197" s="20" t="str">
        <f aca="false">IF(K197="","",ROUND(K197*(1+M197),2))</f>
        <v/>
      </c>
      <c r="O197" s="21"/>
      <c r="P197" s="21"/>
      <c r="Q197" s="22"/>
      <c r="R197" s="22"/>
      <c r="S197" s="23" t="str">
        <f aca="false">IF(A197="","",COUNTIF(Registo!$B$2:$B$501,A197))</f>
        <v/>
      </c>
      <c r="T197" s="17" t="str">
        <f aca="false">IF(OR(A197="",S197=0),"",LOOKUP(2,1/(Registo!$B$2:$B$501=A197),Registo!$E$2:$E$501))</f>
        <v/>
      </c>
      <c r="U197" s="24"/>
    </row>
    <row r="198" customFormat="false" ht="15" hidden="false" customHeight="false" outlineLevel="0" collapsed="false">
      <c r="A198" s="22"/>
      <c r="B198" s="21"/>
      <c r="C198" s="22"/>
      <c r="D198" s="22"/>
      <c r="E198" s="16"/>
      <c r="F198" s="16"/>
      <c r="G198" s="16"/>
      <c r="H198" s="16"/>
      <c r="I198" s="16"/>
      <c r="J198" s="17" t="str">
        <f aca="false">IF(AND(A198="",B198=""),"",IF(SUM(E198:H198)&gt;0,SUM(E198:H198),I198))</f>
        <v/>
      </c>
      <c r="K198" s="17" t="str">
        <f aca="false">IF(J198="","",ROUND(IF(SUM(E198:H198)&gt;0,E198*(1+Config!$C$4)+F198*(1+Config!$C$5)+G198*(1+Config!$C$6)+H198*(1+Config!$C$7),I198*(1+Config!$C$8)),2))</f>
        <v/>
      </c>
      <c r="L198" s="18"/>
      <c r="M198" s="19" t="str">
        <f aca="false">IF(J198="","",IF(L198="",Config!$C$3,L198))</f>
        <v/>
      </c>
      <c r="N198" s="20" t="str">
        <f aca="false">IF(K198="","",ROUND(K198*(1+M198),2))</f>
        <v/>
      </c>
      <c r="O198" s="21"/>
      <c r="P198" s="21"/>
      <c r="Q198" s="22"/>
      <c r="R198" s="22"/>
      <c r="S198" s="23" t="str">
        <f aca="false">IF(A198="","",COUNTIF(Registo!$B$2:$B$501,A198))</f>
        <v/>
      </c>
      <c r="T198" s="17" t="str">
        <f aca="false">IF(OR(A198="",S198=0),"",LOOKUP(2,1/(Registo!$B$2:$B$501=A198),Registo!$E$2:$E$501))</f>
        <v/>
      </c>
      <c r="U198" s="24"/>
    </row>
    <row r="199" customFormat="false" ht="15" hidden="false" customHeight="false" outlineLevel="0" collapsed="false">
      <c r="A199" s="22"/>
      <c r="B199" s="21"/>
      <c r="C199" s="22"/>
      <c r="D199" s="22"/>
      <c r="E199" s="16"/>
      <c r="F199" s="16"/>
      <c r="G199" s="16"/>
      <c r="H199" s="16"/>
      <c r="I199" s="16"/>
      <c r="J199" s="17" t="str">
        <f aca="false">IF(AND(A199="",B199=""),"",IF(SUM(E199:H199)&gt;0,SUM(E199:H199),I199))</f>
        <v/>
      </c>
      <c r="K199" s="17" t="str">
        <f aca="false">IF(J199="","",ROUND(IF(SUM(E199:H199)&gt;0,E199*(1+Config!$C$4)+F199*(1+Config!$C$5)+G199*(1+Config!$C$6)+H199*(1+Config!$C$7),I199*(1+Config!$C$8)),2))</f>
        <v/>
      </c>
      <c r="L199" s="18"/>
      <c r="M199" s="19" t="str">
        <f aca="false">IF(J199="","",IF(L199="",Config!$C$3,L199))</f>
        <v/>
      </c>
      <c r="N199" s="20" t="str">
        <f aca="false">IF(K199="","",ROUND(K199*(1+M199),2))</f>
        <v/>
      </c>
      <c r="O199" s="21"/>
      <c r="P199" s="21"/>
      <c r="Q199" s="22"/>
      <c r="R199" s="22"/>
      <c r="S199" s="23" t="str">
        <f aca="false">IF(A199="","",COUNTIF(Registo!$B$2:$B$501,A199))</f>
        <v/>
      </c>
      <c r="T199" s="17" t="str">
        <f aca="false">IF(OR(A199="",S199=0),"",LOOKUP(2,1/(Registo!$B$2:$B$501=A199),Registo!$E$2:$E$501))</f>
        <v/>
      </c>
      <c r="U199" s="24"/>
    </row>
    <row r="200" customFormat="false" ht="15" hidden="false" customHeight="false" outlineLevel="0" collapsed="false">
      <c r="A200" s="22"/>
      <c r="B200" s="21"/>
      <c r="C200" s="22"/>
      <c r="D200" s="22"/>
      <c r="E200" s="16"/>
      <c r="F200" s="16"/>
      <c r="G200" s="16"/>
      <c r="H200" s="16"/>
      <c r="I200" s="16"/>
      <c r="J200" s="17" t="str">
        <f aca="false">IF(AND(A200="",B200=""),"",IF(SUM(E200:H200)&gt;0,SUM(E200:H200),I200))</f>
        <v/>
      </c>
      <c r="K200" s="17" t="str">
        <f aca="false">IF(J200="","",ROUND(IF(SUM(E200:H200)&gt;0,E200*(1+Config!$C$4)+F200*(1+Config!$C$5)+G200*(1+Config!$C$6)+H200*(1+Config!$C$7),I200*(1+Config!$C$8)),2))</f>
        <v/>
      </c>
      <c r="L200" s="18"/>
      <c r="M200" s="19" t="str">
        <f aca="false">IF(J200="","",IF(L200="",Config!$C$3,L200))</f>
        <v/>
      </c>
      <c r="N200" s="20" t="str">
        <f aca="false">IF(K200="","",ROUND(K200*(1+M200),2))</f>
        <v/>
      </c>
      <c r="O200" s="21"/>
      <c r="P200" s="21"/>
      <c r="Q200" s="22"/>
      <c r="R200" s="22"/>
      <c r="S200" s="23" t="str">
        <f aca="false">IF(A200="","",COUNTIF(Registo!$B$2:$B$501,A200))</f>
        <v/>
      </c>
      <c r="T200" s="17" t="str">
        <f aca="false">IF(OR(A200="",S200=0),"",LOOKUP(2,1/(Registo!$B$2:$B$501=A200),Registo!$E$2:$E$501))</f>
        <v/>
      </c>
      <c r="U200" s="24"/>
    </row>
    <row r="201" customFormat="false" ht="15" hidden="false" customHeight="false" outlineLevel="0" collapsed="false">
      <c r="A201" s="22"/>
      <c r="B201" s="21"/>
      <c r="C201" s="22"/>
      <c r="D201" s="22"/>
      <c r="E201" s="16"/>
      <c r="F201" s="16"/>
      <c r="G201" s="16"/>
      <c r="H201" s="16"/>
      <c r="I201" s="16"/>
      <c r="J201" s="17" t="str">
        <f aca="false">IF(AND(A201="",B201=""),"",IF(SUM(E201:H201)&gt;0,SUM(E201:H201),I201))</f>
        <v/>
      </c>
      <c r="K201" s="17" t="str">
        <f aca="false">IF(J201="","",ROUND(IF(SUM(E201:H201)&gt;0,E201*(1+Config!$C$4)+F201*(1+Config!$C$5)+G201*(1+Config!$C$6)+H201*(1+Config!$C$7),I201*(1+Config!$C$8)),2))</f>
        <v/>
      </c>
      <c r="L201" s="18"/>
      <c r="M201" s="19" t="str">
        <f aca="false">IF(J201="","",IF(L201="",Config!$C$3,L201))</f>
        <v/>
      </c>
      <c r="N201" s="20" t="str">
        <f aca="false">IF(K201="","",ROUND(K201*(1+M201),2))</f>
        <v/>
      </c>
      <c r="O201" s="21"/>
      <c r="P201" s="21"/>
      <c r="Q201" s="22"/>
      <c r="R201" s="22"/>
      <c r="S201" s="23" t="str">
        <f aca="false">IF(A201="","",COUNTIF(Registo!$B$2:$B$501,A201))</f>
        <v/>
      </c>
      <c r="T201" s="17" t="str">
        <f aca="false">IF(OR(A201="",S201=0),"",LOOKUP(2,1/(Registo!$B$2:$B$501=A201),Registo!$E$2:$E$501))</f>
        <v/>
      </c>
      <c r="U201" s="24"/>
    </row>
    <row r="202" customFormat="false" ht="15" hidden="false" customHeight="false" outlineLevel="0" collapsed="false">
      <c r="A202" s="22"/>
      <c r="B202" s="21"/>
      <c r="C202" s="22"/>
      <c r="D202" s="22"/>
      <c r="E202" s="16"/>
      <c r="F202" s="16"/>
      <c r="G202" s="16"/>
      <c r="H202" s="16"/>
      <c r="I202" s="16"/>
      <c r="J202" s="17" t="str">
        <f aca="false">IF(AND(A202="",B202=""),"",IF(SUM(E202:H202)&gt;0,SUM(E202:H202),I202))</f>
        <v/>
      </c>
      <c r="K202" s="17" t="str">
        <f aca="false">IF(J202="","",ROUND(IF(SUM(E202:H202)&gt;0,E202*(1+Config!$C$4)+F202*(1+Config!$C$5)+G202*(1+Config!$C$6)+H202*(1+Config!$C$7),I202*(1+Config!$C$8)),2))</f>
        <v/>
      </c>
      <c r="L202" s="18"/>
      <c r="M202" s="19" t="str">
        <f aca="false">IF(J202="","",IF(L202="",Config!$C$3,L202))</f>
        <v/>
      </c>
      <c r="N202" s="20" t="str">
        <f aca="false">IF(K202="","",ROUND(K202*(1+M202),2))</f>
        <v/>
      </c>
      <c r="O202" s="21"/>
      <c r="P202" s="21"/>
      <c r="Q202" s="22"/>
      <c r="R202" s="22"/>
      <c r="S202" s="23" t="str">
        <f aca="false">IF(A202="","",COUNTIF(Registo!$B$2:$B$501,A202))</f>
        <v/>
      </c>
      <c r="T202" s="17" t="str">
        <f aca="false">IF(OR(A202="",S202=0),"",LOOKUP(2,1/(Registo!$B$2:$B$501=A202),Registo!$E$2:$E$501))</f>
        <v/>
      </c>
      <c r="U202" s="24"/>
    </row>
    <row r="203" customFormat="false" ht="15" hidden="false" customHeight="false" outlineLevel="0" collapsed="false">
      <c r="A203" s="22"/>
      <c r="B203" s="21"/>
      <c r="C203" s="22"/>
      <c r="D203" s="22"/>
      <c r="E203" s="16"/>
      <c r="F203" s="16"/>
      <c r="G203" s="16"/>
      <c r="H203" s="16"/>
      <c r="I203" s="16"/>
      <c r="J203" s="17" t="str">
        <f aca="false">IF(AND(A203="",B203=""),"",IF(SUM(E203:H203)&gt;0,SUM(E203:H203),I203))</f>
        <v/>
      </c>
      <c r="K203" s="17" t="str">
        <f aca="false">IF(J203="","",ROUND(IF(SUM(E203:H203)&gt;0,E203*(1+Config!$C$4)+F203*(1+Config!$C$5)+G203*(1+Config!$C$6)+H203*(1+Config!$C$7),I203*(1+Config!$C$8)),2))</f>
        <v/>
      </c>
      <c r="L203" s="18"/>
      <c r="M203" s="19" t="str">
        <f aca="false">IF(J203="","",IF(L203="",Config!$C$3,L203))</f>
        <v/>
      </c>
      <c r="N203" s="20" t="str">
        <f aca="false">IF(K203="","",ROUND(K203*(1+M203),2))</f>
        <v/>
      </c>
      <c r="O203" s="21"/>
      <c r="P203" s="21"/>
      <c r="Q203" s="22"/>
      <c r="R203" s="22"/>
      <c r="S203" s="23" t="str">
        <f aca="false">IF(A203="","",COUNTIF(Registo!$B$2:$B$501,A203))</f>
        <v/>
      </c>
      <c r="T203" s="17" t="str">
        <f aca="false">IF(OR(A203="",S203=0),"",LOOKUP(2,1/(Registo!$B$2:$B$501=A203),Registo!$E$2:$E$501))</f>
        <v/>
      </c>
      <c r="U203" s="24"/>
    </row>
    <row r="204" customFormat="false" ht="15" hidden="false" customHeight="false" outlineLevel="0" collapsed="false">
      <c r="A204" s="22"/>
      <c r="B204" s="21"/>
      <c r="C204" s="22"/>
      <c r="D204" s="22"/>
      <c r="E204" s="16"/>
      <c r="F204" s="16"/>
      <c r="G204" s="16"/>
      <c r="H204" s="16"/>
      <c r="I204" s="16"/>
      <c r="J204" s="17" t="str">
        <f aca="false">IF(AND(A204="",B204=""),"",IF(SUM(E204:H204)&gt;0,SUM(E204:H204),I204))</f>
        <v/>
      </c>
      <c r="K204" s="17" t="str">
        <f aca="false">IF(J204="","",ROUND(IF(SUM(E204:H204)&gt;0,E204*(1+Config!$C$4)+F204*(1+Config!$C$5)+G204*(1+Config!$C$6)+H204*(1+Config!$C$7),I204*(1+Config!$C$8)),2))</f>
        <v/>
      </c>
      <c r="L204" s="18"/>
      <c r="M204" s="19" t="str">
        <f aca="false">IF(J204="","",IF(L204="",Config!$C$3,L204))</f>
        <v/>
      </c>
      <c r="N204" s="20" t="str">
        <f aca="false">IF(K204="","",ROUND(K204*(1+M204),2))</f>
        <v/>
      </c>
      <c r="O204" s="21"/>
      <c r="P204" s="21"/>
      <c r="Q204" s="22"/>
      <c r="R204" s="22"/>
      <c r="S204" s="23" t="str">
        <f aca="false">IF(A204="","",COUNTIF(Registo!$B$2:$B$501,A204))</f>
        <v/>
      </c>
      <c r="T204" s="17" t="str">
        <f aca="false">IF(OR(A204="",S204=0),"",LOOKUP(2,1/(Registo!$B$2:$B$501=A204),Registo!$E$2:$E$501))</f>
        <v/>
      </c>
      <c r="U204" s="24"/>
    </row>
    <row r="205" customFormat="false" ht="15" hidden="false" customHeight="false" outlineLevel="0" collapsed="false">
      <c r="A205" s="22"/>
      <c r="B205" s="21"/>
      <c r="C205" s="22"/>
      <c r="D205" s="22"/>
      <c r="E205" s="16"/>
      <c r="F205" s="16"/>
      <c r="G205" s="16"/>
      <c r="H205" s="16"/>
      <c r="I205" s="16"/>
      <c r="J205" s="17" t="str">
        <f aca="false">IF(AND(A205="",B205=""),"",IF(SUM(E205:H205)&gt;0,SUM(E205:H205),I205))</f>
        <v/>
      </c>
      <c r="K205" s="17" t="str">
        <f aca="false">IF(J205="","",ROUND(IF(SUM(E205:H205)&gt;0,E205*(1+Config!$C$4)+F205*(1+Config!$C$5)+G205*(1+Config!$C$6)+H205*(1+Config!$C$7),I205*(1+Config!$C$8)),2))</f>
        <v/>
      </c>
      <c r="L205" s="18"/>
      <c r="M205" s="19" t="str">
        <f aca="false">IF(J205="","",IF(L205="",Config!$C$3,L205))</f>
        <v/>
      </c>
      <c r="N205" s="20" t="str">
        <f aca="false">IF(K205="","",ROUND(K205*(1+M205),2))</f>
        <v/>
      </c>
      <c r="O205" s="21"/>
      <c r="P205" s="21"/>
      <c r="Q205" s="22"/>
      <c r="R205" s="22"/>
      <c r="S205" s="23" t="str">
        <f aca="false">IF(A205="","",COUNTIF(Registo!$B$2:$B$501,A205))</f>
        <v/>
      </c>
      <c r="T205" s="17" t="str">
        <f aca="false">IF(OR(A205="",S205=0),"",LOOKUP(2,1/(Registo!$B$2:$B$501=A205),Registo!$E$2:$E$501))</f>
        <v/>
      </c>
      <c r="U205" s="24"/>
    </row>
    <row r="206" customFormat="false" ht="15" hidden="false" customHeight="false" outlineLevel="0" collapsed="false">
      <c r="A206" s="22"/>
      <c r="B206" s="21"/>
      <c r="C206" s="22"/>
      <c r="D206" s="22"/>
      <c r="E206" s="16"/>
      <c r="F206" s="16"/>
      <c r="G206" s="16"/>
      <c r="H206" s="16"/>
      <c r="I206" s="16"/>
      <c r="J206" s="17" t="str">
        <f aca="false">IF(AND(A206="",B206=""),"",IF(SUM(E206:H206)&gt;0,SUM(E206:H206),I206))</f>
        <v/>
      </c>
      <c r="K206" s="17" t="str">
        <f aca="false">IF(J206="","",ROUND(IF(SUM(E206:H206)&gt;0,E206*(1+Config!$C$4)+F206*(1+Config!$C$5)+G206*(1+Config!$C$6)+H206*(1+Config!$C$7),I206*(1+Config!$C$8)),2))</f>
        <v/>
      </c>
      <c r="L206" s="18"/>
      <c r="M206" s="19" t="str">
        <f aca="false">IF(J206="","",IF(L206="",Config!$C$3,L206))</f>
        <v/>
      </c>
      <c r="N206" s="20" t="str">
        <f aca="false">IF(K206="","",ROUND(K206*(1+M206),2))</f>
        <v/>
      </c>
      <c r="O206" s="21"/>
      <c r="P206" s="21"/>
      <c r="Q206" s="22"/>
      <c r="R206" s="22"/>
      <c r="S206" s="23" t="str">
        <f aca="false">IF(A206="","",COUNTIF(Registo!$B$2:$B$501,A206))</f>
        <v/>
      </c>
      <c r="T206" s="17" t="str">
        <f aca="false">IF(OR(A206="",S206=0),"",LOOKUP(2,1/(Registo!$B$2:$B$501=A206),Registo!$E$2:$E$501))</f>
        <v/>
      </c>
      <c r="U206" s="24"/>
    </row>
    <row r="207" customFormat="false" ht="15" hidden="false" customHeight="false" outlineLevel="0" collapsed="false">
      <c r="A207" s="22"/>
      <c r="B207" s="21"/>
      <c r="C207" s="22"/>
      <c r="D207" s="22"/>
      <c r="E207" s="16"/>
      <c r="F207" s="16"/>
      <c r="G207" s="16"/>
      <c r="H207" s="16"/>
      <c r="I207" s="16"/>
      <c r="J207" s="17" t="str">
        <f aca="false">IF(AND(A207="",B207=""),"",IF(SUM(E207:H207)&gt;0,SUM(E207:H207),I207))</f>
        <v/>
      </c>
      <c r="K207" s="17" t="str">
        <f aca="false">IF(J207="","",ROUND(IF(SUM(E207:H207)&gt;0,E207*(1+Config!$C$4)+F207*(1+Config!$C$5)+G207*(1+Config!$C$6)+H207*(1+Config!$C$7),I207*(1+Config!$C$8)),2))</f>
        <v/>
      </c>
      <c r="L207" s="18"/>
      <c r="M207" s="19" t="str">
        <f aca="false">IF(J207="","",IF(L207="",Config!$C$3,L207))</f>
        <v/>
      </c>
      <c r="N207" s="20" t="str">
        <f aca="false">IF(K207="","",ROUND(K207*(1+M207),2))</f>
        <v/>
      </c>
      <c r="O207" s="21"/>
      <c r="P207" s="21"/>
      <c r="Q207" s="22"/>
      <c r="R207" s="22"/>
      <c r="S207" s="23" t="str">
        <f aca="false">IF(A207="","",COUNTIF(Registo!$B$2:$B$501,A207))</f>
        <v/>
      </c>
      <c r="T207" s="17" t="str">
        <f aca="false">IF(OR(A207="",S207=0),"",LOOKUP(2,1/(Registo!$B$2:$B$501=A207),Registo!$E$2:$E$501))</f>
        <v/>
      </c>
      <c r="U207" s="24"/>
    </row>
    <row r="208" customFormat="false" ht="15" hidden="false" customHeight="false" outlineLevel="0" collapsed="false">
      <c r="A208" s="22"/>
      <c r="B208" s="21"/>
      <c r="C208" s="22"/>
      <c r="D208" s="22"/>
      <c r="E208" s="16"/>
      <c r="F208" s="16"/>
      <c r="G208" s="16"/>
      <c r="H208" s="16"/>
      <c r="I208" s="16"/>
      <c r="J208" s="17" t="str">
        <f aca="false">IF(AND(A208="",B208=""),"",IF(SUM(E208:H208)&gt;0,SUM(E208:H208),I208))</f>
        <v/>
      </c>
      <c r="K208" s="17" t="str">
        <f aca="false">IF(J208="","",ROUND(IF(SUM(E208:H208)&gt;0,E208*(1+Config!$C$4)+F208*(1+Config!$C$5)+G208*(1+Config!$C$6)+H208*(1+Config!$C$7),I208*(1+Config!$C$8)),2))</f>
        <v/>
      </c>
      <c r="L208" s="18"/>
      <c r="M208" s="19" t="str">
        <f aca="false">IF(J208="","",IF(L208="",Config!$C$3,L208))</f>
        <v/>
      </c>
      <c r="N208" s="20" t="str">
        <f aca="false">IF(K208="","",ROUND(K208*(1+M208),2))</f>
        <v/>
      </c>
      <c r="O208" s="21"/>
      <c r="P208" s="21"/>
      <c r="Q208" s="22"/>
      <c r="R208" s="22"/>
      <c r="S208" s="23" t="str">
        <f aca="false">IF(A208="","",COUNTIF(Registo!$B$2:$B$501,A208))</f>
        <v/>
      </c>
      <c r="T208" s="17" t="str">
        <f aca="false">IF(OR(A208="",S208=0),"",LOOKUP(2,1/(Registo!$B$2:$B$501=A208),Registo!$E$2:$E$501))</f>
        <v/>
      </c>
      <c r="U208" s="24"/>
    </row>
    <row r="209" customFormat="false" ht="15" hidden="false" customHeight="false" outlineLevel="0" collapsed="false">
      <c r="A209" s="22"/>
      <c r="B209" s="21"/>
      <c r="C209" s="22"/>
      <c r="D209" s="22"/>
      <c r="E209" s="16"/>
      <c r="F209" s="16"/>
      <c r="G209" s="16"/>
      <c r="H209" s="16"/>
      <c r="I209" s="16"/>
      <c r="J209" s="17" t="str">
        <f aca="false">IF(AND(A209="",B209=""),"",IF(SUM(E209:H209)&gt;0,SUM(E209:H209),I209))</f>
        <v/>
      </c>
      <c r="K209" s="17" t="str">
        <f aca="false">IF(J209="","",ROUND(IF(SUM(E209:H209)&gt;0,E209*(1+Config!$C$4)+F209*(1+Config!$C$5)+G209*(1+Config!$C$6)+H209*(1+Config!$C$7),I209*(1+Config!$C$8)),2))</f>
        <v/>
      </c>
      <c r="L209" s="18"/>
      <c r="M209" s="19" t="str">
        <f aca="false">IF(J209="","",IF(L209="",Config!$C$3,L209))</f>
        <v/>
      </c>
      <c r="N209" s="20" t="str">
        <f aca="false">IF(K209="","",ROUND(K209*(1+M209),2))</f>
        <v/>
      </c>
      <c r="O209" s="21"/>
      <c r="P209" s="21"/>
      <c r="Q209" s="22"/>
      <c r="R209" s="22"/>
      <c r="S209" s="23" t="str">
        <f aca="false">IF(A209="","",COUNTIF(Registo!$B$2:$B$501,A209))</f>
        <v/>
      </c>
      <c r="T209" s="17" t="str">
        <f aca="false">IF(OR(A209="",S209=0),"",LOOKUP(2,1/(Registo!$B$2:$B$501=A209),Registo!$E$2:$E$501))</f>
        <v/>
      </c>
      <c r="U209" s="24"/>
    </row>
    <row r="210" customFormat="false" ht="15" hidden="false" customHeight="false" outlineLevel="0" collapsed="false">
      <c r="A210" s="22"/>
      <c r="B210" s="21"/>
      <c r="C210" s="22"/>
      <c r="D210" s="22"/>
      <c r="E210" s="16"/>
      <c r="F210" s="16"/>
      <c r="G210" s="16"/>
      <c r="H210" s="16"/>
      <c r="I210" s="16"/>
      <c r="J210" s="17" t="str">
        <f aca="false">IF(AND(A210="",B210=""),"",IF(SUM(E210:H210)&gt;0,SUM(E210:H210),I210))</f>
        <v/>
      </c>
      <c r="K210" s="17" t="str">
        <f aca="false">IF(J210="","",ROUND(IF(SUM(E210:H210)&gt;0,E210*(1+Config!$C$4)+F210*(1+Config!$C$5)+G210*(1+Config!$C$6)+H210*(1+Config!$C$7),I210*(1+Config!$C$8)),2))</f>
        <v/>
      </c>
      <c r="L210" s="18"/>
      <c r="M210" s="19" t="str">
        <f aca="false">IF(J210="","",IF(L210="",Config!$C$3,L210))</f>
        <v/>
      </c>
      <c r="N210" s="20" t="str">
        <f aca="false">IF(K210="","",ROUND(K210*(1+M210),2))</f>
        <v/>
      </c>
      <c r="O210" s="21"/>
      <c r="P210" s="21"/>
      <c r="Q210" s="22"/>
      <c r="R210" s="22"/>
      <c r="S210" s="23" t="str">
        <f aca="false">IF(A210="","",COUNTIF(Registo!$B$2:$B$501,A210))</f>
        <v/>
      </c>
      <c r="T210" s="17" t="str">
        <f aca="false">IF(OR(A210="",S210=0),"",LOOKUP(2,1/(Registo!$B$2:$B$501=A210),Registo!$E$2:$E$501))</f>
        <v/>
      </c>
      <c r="U210" s="24"/>
    </row>
    <row r="211" customFormat="false" ht="15" hidden="false" customHeight="false" outlineLevel="0" collapsed="false">
      <c r="A211" s="22"/>
      <c r="B211" s="21"/>
      <c r="C211" s="22"/>
      <c r="D211" s="22"/>
      <c r="E211" s="16"/>
      <c r="F211" s="16"/>
      <c r="G211" s="16"/>
      <c r="H211" s="16"/>
      <c r="I211" s="16"/>
      <c r="J211" s="17" t="str">
        <f aca="false">IF(AND(A211="",B211=""),"",IF(SUM(E211:H211)&gt;0,SUM(E211:H211),I211))</f>
        <v/>
      </c>
      <c r="K211" s="17" t="str">
        <f aca="false">IF(J211="","",ROUND(IF(SUM(E211:H211)&gt;0,E211*(1+Config!$C$4)+F211*(1+Config!$C$5)+G211*(1+Config!$C$6)+H211*(1+Config!$C$7),I211*(1+Config!$C$8)),2))</f>
        <v/>
      </c>
      <c r="L211" s="18"/>
      <c r="M211" s="19" t="str">
        <f aca="false">IF(J211="","",IF(L211="",Config!$C$3,L211))</f>
        <v/>
      </c>
      <c r="N211" s="20" t="str">
        <f aca="false">IF(K211="","",ROUND(K211*(1+M211),2))</f>
        <v/>
      </c>
      <c r="O211" s="21"/>
      <c r="P211" s="21"/>
      <c r="Q211" s="22"/>
      <c r="R211" s="22"/>
      <c r="S211" s="23" t="str">
        <f aca="false">IF(A211="","",COUNTIF(Registo!$B$2:$B$501,A211))</f>
        <v/>
      </c>
      <c r="T211" s="17" t="str">
        <f aca="false">IF(OR(A211="",S211=0),"",LOOKUP(2,1/(Registo!$B$2:$B$501=A211),Registo!$E$2:$E$501))</f>
        <v/>
      </c>
      <c r="U211" s="24"/>
    </row>
    <row r="212" customFormat="false" ht="15" hidden="false" customHeight="false" outlineLevel="0" collapsed="false">
      <c r="A212" s="22"/>
      <c r="B212" s="21"/>
      <c r="C212" s="22"/>
      <c r="D212" s="22"/>
      <c r="E212" s="16"/>
      <c r="F212" s="16"/>
      <c r="G212" s="16"/>
      <c r="H212" s="16"/>
      <c r="I212" s="16"/>
      <c r="J212" s="17" t="str">
        <f aca="false">IF(AND(A212="",B212=""),"",IF(SUM(E212:H212)&gt;0,SUM(E212:H212),I212))</f>
        <v/>
      </c>
      <c r="K212" s="17" t="str">
        <f aca="false">IF(J212="","",ROUND(IF(SUM(E212:H212)&gt;0,E212*(1+Config!$C$4)+F212*(1+Config!$C$5)+G212*(1+Config!$C$6)+H212*(1+Config!$C$7),I212*(1+Config!$C$8)),2))</f>
        <v/>
      </c>
      <c r="L212" s="18"/>
      <c r="M212" s="19" t="str">
        <f aca="false">IF(J212="","",IF(L212="",Config!$C$3,L212))</f>
        <v/>
      </c>
      <c r="N212" s="20" t="str">
        <f aca="false">IF(K212="","",ROUND(K212*(1+M212),2))</f>
        <v/>
      </c>
      <c r="O212" s="21"/>
      <c r="P212" s="21"/>
      <c r="Q212" s="22"/>
      <c r="R212" s="22"/>
      <c r="S212" s="23" t="str">
        <f aca="false">IF(A212="","",COUNTIF(Registo!$B$2:$B$501,A212))</f>
        <v/>
      </c>
      <c r="T212" s="17" t="str">
        <f aca="false">IF(OR(A212="",S212=0),"",LOOKUP(2,1/(Registo!$B$2:$B$501=A212),Registo!$E$2:$E$501))</f>
        <v/>
      </c>
      <c r="U212" s="24"/>
    </row>
    <row r="213" customFormat="false" ht="15" hidden="false" customHeight="false" outlineLevel="0" collapsed="false">
      <c r="A213" s="22"/>
      <c r="B213" s="21"/>
      <c r="C213" s="22"/>
      <c r="D213" s="22"/>
      <c r="E213" s="16"/>
      <c r="F213" s="16"/>
      <c r="G213" s="16"/>
      <c r="H213" s="16"/>
      <c r="I213" s="16"/>
      <c r="J213" s="17" t="str">
        <f aca="false">IF(AND(A213="",B213=""),"",IF(SUM(E213:H213)&gt;0,SUM(E213:H213),I213))</f>
        <v/>
      </c>
      <c r="K213" s="17" t="str">
        <f aca="false">IF(J213="","",ROUND(IF(SUM(E213:H213)&gt;0,E213*(1+Config!$C$4)+F213*(1+Config!$C$5)+G213*(1+Config!$C$6)+H213*(1+Config!$C$7),I213*(1+Config!$C$8)),2))</f>
        <v/>
      </c>
      <c r="L213" s="18"/>
      <c r="M213" s="19" t="str">
        <f aca="false">IF(J213="","",IF(L213="",Config!$C$3,L213))</f>
        <v/>
      </c>
      <c r="N213" s="20" t="str">
        <f aca="false">IF(K213="","",ROUND(K213*(1+M213),2))</f>
        <v/>
      </c>
      <c r="O213" s="21"/>
      <c r="P213" s="21"/>
      <c r="Q213" s="22"/>
      <c r="R213" s="22"/>
      <c r="S213" s="23" t="str">
        <f aca="false">IF(A213="","",COUNTIF(Registo!$B$2:$B$501,A213))</f>
        <v/>
      </c>
      <c r="T213" s="17" t="str">
        <f aca="false">IF(OR(A213="",S213=0),"",LOOKUP(2,1/(Registo!$B$2:$B$501=A213),Registo!$E$2:$E$501))</f>
        <v/>
      </c>
      <c r="U213" s="24"/>
    </row>
    <row r="214" customFormat="false" ht="15" hidden="false" customHeight="false" outlineLevel="0" collapsed="false">
      <c r="A214" s="22"/>
      <c r="B214" s="21"/>
      <c r="C214" s="22"/>
      <c r="D214" s="22"/>
      <c r="E214" s="16"/>
      <c r="F214" s="16"/>
      <c r="G214" s="16"/>
      <c r="H214" s="16"/>
      <c r="I214" s="16"/>
      <c r="J214" s="17" t="str">
        <f aca="false">IF(AND(A214="",B214=""),"",IF(SUM(E214:H214)&gt;0,SUM(E214:H214),I214))</f>
        <v/>
      </c>
      <c r="K214" s="17" t="str">
        <f aca="false">IF(J214="","",ROUND(IF(SUM(E214:H214)&gt;0,E214*(1+Config!$C$4)+F214*(1+Config!$C$5)+G214*(1+Config!$C$6)+H214*(1+Config!$C$7),I214*(1+Config!$C$8)),2))</f>
        <v/>
      </c>
      <c r="L214" s="18"/>
      <c r="M214" s="19" t="str">
        <f aca="false">IF(J214="","",IF(L214="",Config!$C$3,L214))</f>
        <v/>
      </c>
      <c r="N214" s="20" t="str">
        <f aca="false">IF(K214="","",ROUND(K214*(1+M214),2))</f>
        <v/>
      </c>
      <c r="O214" s="21"/>
      <c r="P214" s="21"/>
      <c r="Q214" s="22"/>
      <c r="R214" s="22"/>
      <c r="S214" s="23" t="str">
        <f aca="false">IF(A214="","",COUNTIF(Registo!$B$2:$B$501,A214))</f>
        <v/>
      </c>
      <c r="T214" s="17" t="str">
        <f aca="false">IF(OR(A214="",S214=0),"",LOOKUP(2,1/(Registo!$B$2:$B$501=A214),Registo!$E$2:$E$501))</f>
        <v/>
      </c>
      <c r="U214" s="24"/>
    </row>
    <row r="215" customFormat="false" ht="15" hidden="false" customHeight="false" outlineLevel="0" collapsed="false">
      <c r="A215" s="22"/>
      <c r="B215" s="21"/>
      <c r="C215" s="22"/>
      <c r="D215" s="22"/>
      <c r="E215" s="16"/>
      <c r="F215" s="16"/>
      <c r="G215" s="16"/>
      <c r="H215" s="16"/>
      <c r="I215" s="16"/>
      <c r="J215" s="17" t="str">
        <f aca="false">IF(AND(A215="",B215=""),"",IF(SUM(E215:H215)&gt;0,SUM(E215:H215),I215))</f>
        <v/>
      </c>
      <c r="K215" s="17" t="str">
        <f aca="false">IF(J215="","",ROUND(IF(SUM(E215:H215)&gt;0,E215*(1+Config!$C$4)+F215*(1+Config!$C$5)+G215*(1+Config!$C$6)+H215*(1+Config!$C$7),I215*(1+Config!$C$8)),2))</f>
        <v/>
      </c>
      <c r="L215" s="18"/>
      <c r="M215" s="19" t="str">
        <f aca="false">IF(J215="","",IF(L215="",Config!$C$3,L215))</f>
        <v/>
      </c>
      <c r="N215" s="20" t="str">
        <f aca="false">IF(K215="","",ROUND(K215*(1+M215),2))</f>
        <v/>
      </c>
      <c r="O215" s="21"/>
      <c r="P215" s="21"/>
      <c r="Q215" s="22"/>
      <c r="R215" s="22"/>
      <c r="S215" s="23" t="str">
        <f aca="false">IF(A215="","",COUNTIF(Registo!$B$2:$B$501,A215))</f>
        <v/>
      </c>
      <c r="T215" s="17" t="str">
        <f aca="false">IF(OR(A215="",S215=0),"",LOOKUP(2,1/(Registo!$B$2:$B$501=A215),Registo!$E$2:$E$501))</f>
        <v/>
      </c>
      <c r="U215" s="24"/>
    </row>
    <row r="216" customFormat="false" ht="15" hidden="false" customHeight="false" outlineLevel="0" collapsed="false">
      <c r="A216" s="22"/>
      <c r="B216" s="21"/>
      <c r="C216" s="22"/>
      <c r="D216" s="22"/>
      <c r="E216" s="16"/>
      <c r="F216" s="16"/>
      <c r="G216" s="16"/>
      <c r="H216" s="16"/>
      <c r="I216" s="16"/>
      <c r="J216" s="17" t="str">
        <f aca="false">IF(AND(A216="",B216=""),"",IF(SUM(E216:H216)&gt;0,SUM(E216:H216),I216))</f>
        <v/>
      </c>
      <c r="K216" s="17" t="str">
        <f aca="false">IF(J216="","",ROUND(IF(SUM(E216:H216)&gt;0,E216*(1+Config!$C$4)+F216*(1+Config!$C$5)+G216*(1+Config!$C$6)+H216*(1+Config!$C$7),I216*(1+Config!$C$8)),2))</f>
        <v/>
      </c>
      <c r="L216" s="18"/>
      <c r="M216" s="19" t="str">
        <f aca="false">IF(J216="","",IF(L216="",Config!$C$3,L216))</f>
        <v/>
      </c>
      <c r="N216" s="20" t="str">
        <f aca="false">IF(K216="","",ROUND(K216*(1+M216),2))</f>
        <v/>
      </c>
      <c r="O216" s="21"/>
      <c r="P216" s="21"/>
      <c r="Q216" s="22"/>
      <c r="R216" s="22"/>
      <c r="S216" s="23" t="str">
        <f aca="false">IF(A216="","",COUNTIF(Registo!$B$2:$B$501,A216))</f>
        <v/>
      </c>
      <c r="T216" s="17" t="str">
        <f aca="false">IF(OR(A216="",S216=0),"",LOOKUP(2,1/(Registo!$B$2:$B$501=A216),Registo!$E$2:$E$501))</f>
        <v/>
      </c>
      <c r="U216" s="24"/>
    </row>
    <row r="217" customFormat="false" ht="15" hidden="false" customHeight="false" outlineLevel="0" collapsed="false">
      <c r="A217" s="22"/>
      <c r="B217" s="21"/>
      <c r="C217" s="22"/>
      <c r="D217" s="22"/>
      <c r="E217" s="16"/>
      <c r="F217" s="16"/>
      <c r="G217" s="16"/>
      <c r="H217" s="16"/>
      <c r="I217" s="16"/>
      <c r="J217" s="17" t="str">
        <f aca="false">IF(AND(A217="",B217=""),"",IF(SUM(E217:H217)&gt;0,SUM(E217:H217),I217))</f>
        <v/>
      </c>
      <c r="K217" s="17" t="str">
        <f aca="false">IF(J217="","",ROUND(IF(SUM(E217:H217)&gt;0,E217*(1+Config!$C$4)+F217*(1+Config!$C$5)+G217*(1+Config!$C$6)+H217*(1+Config!$C$7),I217*(1+Config!$C$8)),2))</f>
        <v/>
      </c>
      <c r="L217" s="18"/>
      <c r="M217" s="19" t="str">
        <f aca="false">IF(J217="","",IF(L217="",Config!$C$3,L217))</f>
        <v/>
      </c>
      <c r="N217" s="20" t="str">
        <f aca="false">IF(K217="","",ROUND(K217*(1+M217),2))</f>
        <v/>
      </c>
      <c r="O217" s="21"/>
      <c r="P217" s="21"/>
      <c r="Q217" s="22"/>
      <c r="R217" s="22"/>
      <c r="S217" s="23" t="str">
        <f aca="false">IF(A217="","",COUNTIF(Registo!$B$2:$B$501,A217))</f>
        <v/>
      </c>
      <c r="T217" s="17" t="str">
        <f aca="false">IF(OR(A217="",S217=0),"",LOOKUP(2,1/(Registo!$B$2:$B$501=A217),Registo!$E$2:$E$501))</f>
        <v/>
      </c>
      <c r="U217" s="24"/>
    </row>
    <row r="218" customFormat="false" ht="15" hidden="false" customHeight="false" outlineLevel="0" collapsed="false">
      <c r="A218" s="22"/>
      <c r="B218" s="21"/>
      <c r="C218" s="22"/>
      <c r="D218" s="22"/>
      <c r="E218" s="16"/>
      <c r="F218" s="16"/>
      <c r="G218" s="16"/>
      <c r="H218" s="16"/>
      <c r="I218" s="16"/>
      <c r="J218" s="17" t="str">
        <f aca="false">IF(AND(A218="",B218=""),"",IF(SUM(E218:H218)&gt;0,SUM(E218:H218),I218))</f>
        <v/>
      </c>
      <c r="K218" s="17" t="str">
        <f aca="false">IF(J218="","",ROUND(IF(SUM(E218:H218)&gt;0,E218*(1+Config!$C$4)+F218*(1+Config!$C$5)+G218*(1+Config!$C$6)+H218*(1+Config!$C$7),I218*(1+Config!$C$8)),2))</f>
        <v/>
      </c>
      <c r="L218" s="18"/>
      <c r="M218" s="19" t="str">
        <f aca="false">IF(J218="","",IF(L218="",Config!$C$3,L218))</f>
        <v/>
      </c>
      <c r="N218" s="20" t="str">
        <f aca="false">IF(K218="","",ROUND(K218*(1+M218),2))</f>
        <v/>
      </c>
      <c r="O218" s="21"/>
      <c r="P218" s="21"/>
      <c r="Q218" s="22"/>
      <c r="R218" s="22"/>
      <c r="S218" s="23" t="str">
        <f aca="false">IF(A218="","",COUNTIF(Registo!$B$2:$B$501,A218))</f>
        <v/>
      </c>
      <c r="T218" s="17" t="str">
        <f aca="false">IF(OR(A218="",S218=0),"",LOOKUP(2,1/(Registo!$B$2:$B$501=A218),Registo!$E$2:$E$501))</f>
        <v/>
      </c>
      <c r="U218" s="24"/>
    </row>
    <row r="219" customFormat="false" ht="15" hidden="false" customHeight="false" outlineLevel="0" collapsed="false">
      <c r="A219" s="22"/>
      <c r="B219" s="21"/>
      <c r="C219" s="22"/>
      <c r="D219" s="22"/>
      <c r="E219" s="16"/>
      <c r="F219" s="16"/>
      <c r="G219" s="16"/>
      <c r="H219" s="16"/>
      <c r="I219" s="16"/>
      <c r="J219" s="17" t="str">
        <f aca="false">IF(AND(A219="",B219=""),"",IF(SUM(E219:H219)&gt;0,SUM(E219:H219),I219))</f>
        <v/>
      </c>
      <c r="K219" s="17" t="str">
        <f aca="false">IF(J219="","",ROUND(IF(SUM(E219:H219)&gt;0,E219*(1+Config!$C$4)+F219*(1+Config!$C$5)+G219*(1+Config!$C$6)+H219*(1+Config!$C$7),I219*(1+Config!$C$8)),2))</f>
        <v/>
      </c>
      <c r="L219" s="18"/>
      <c r="M219" s="19" t="str">
        <f aca="false">IF(J219="","",IF(L219="",Config!$C$3,L219))</f>
        <v/>
      </c>
      <c r="N219" s="20" t="str">
        <f aca="false">IF(K219="","",ROUND(K219*(1+M219),2))</f>
        <v/>
      </c>
      <c r="O219" s="21"/>
      <c r="P219" s="21"/>
      <c r="Q219" s="22"/>
      <c r="R219" s="22"/>
      <c r="S219" s="23" t="str">
        <f aca="false">IF(A219="","",COUNTIF(Registo!$B$2:$B$501,A219))</f>
        <v/>
      </c>
      <c r="T219" s="17" t="str">
        <f aca="false">IF(OR(A219="",S219=0),"",LOOKUP(2,1/(Registo!$B$2:$B$501=A219),Registo!$E$2:$E$501))</f>
        <v/>
      </c>
      <c r="U219" s="24"/>
    </row>
    <row r="220" customFormat="false" ht="15" hidden="false" customHeight="false" outlineLevel="0" collapsed="false">
      <c r="A220" s="22"/>
      <c r="B220" s="21"/>
      <c r="C220" s="22"/>
      <c r="D220" s="22"/>
      <c r="E220" s="16"/>
      <c r="F220" s="16"/>
      <c r="G220" s="16"/>
      <c r="H220" s="16"/>
      <c r="I220" s="16"/>
      <c r="J220" s="17" t="str">
        <f aca="false">IF(AND(A220="",B220=""),"",IF(SUM(E220:H220)&gt;0,SUM(E220:H220),I220))</f>
        <v/>
      </c>
      <c r="K220" s="17" t="str">
        <f aca="false">IF(J220="","",ROUND(IF(SUM(E220:H220)&gt;0,E220*(1+Config!$C$4)+F220*(1+Config!$C$5)+G220*(1+Config!$C$6)+H220*(1+Config!$C$7),I220*(1+Config!$C$8)),2))</f>
        <v/>
      </c>
      <c r="L220" s="18"/>
      <c r="M220" s="19" t="str">
        <f aca="false">IF(J220="","",IF(L220="",Config!$C$3,L220))</f>
        <v/>
      </c>
      <c r="N220" s="20" t="str">
        <f aca="false">IF(K220="","",ROUND(K220*(1+M220),2))</f>
        <v/>
      </c>
      <c r="O220" s="21"/>
      <c r="P220" s="21"/>
      <c r="Q220" s="22"/>
      <c r="R220" s="22"/>
      <c r="S220" s="23" t="str">
        <f aca="false">IF(A220="","",COUNTIF(Registo!$B$2:$B$501,A220))</f>
        <v/>
      </c>
      <c r="T220" s="17" t="str">
        <f aca="false">IF(OR(A220="",S220=0),"",LOOKUP(2,1/(Registo!$B$2:$B$501=A220),Registo!$E$2:$E$501))</f>
        <v/>
      </c>
      <c r="U220" s="24"/>
    </row>
    <row r="221" customFormat="false" ht="15" hidden="false" customHeight="false" outlineLevel="0" collapsed="false">
      <c r="A221" s="22"/>
      <c r="B221" s="21"/>
      <c r="C221" s="22"/>
      <c r="D221" s="22"/>
      <c r="E221" s="16"/>
      <c r="F221" s="16"/>
      <c r="G221" s="16"/>
      <c r="H221" s="16"/>
      <c r="I221" s="16"/>
      <c r="J221" s="17" t="str">
        <f aca="false">IF(AND(A221="",B221=""),"",IF(SUM(E221:H221)&gt;0,SUM(E221:H221),I221))</f>
        <v/>
      </c>
      <c r="K221" s="17" t="str">
        <f aca="false">IF(J221="","",ROUND(IF(SUM(E221:H221)&gt;0,E221*(1+Config!$C$4)+F221*(1+Config!$C$5)+G221*(1+Config!$C$6)+H221*(1+Config!$C$7),I221*(1+Config!$C$8)),2))</f>
        <v/>
      </c>
      <c r="L221" s="18"/>
      <c r="M221" s="19" t="str">
        <f aca="false">IF(J221="","",IF(L221="",Config!$C$3,L221))</f>
        <v/>
      </c>
      <c r="N221" s="20" t="str">
        <f aca="false">IF(K221="","",ROUND(K221*(1+M221),2))</f>
        <v/>
      </c>
      <c r="O221" s="21"/>
      <c r="P221" s="21"/>
      <c r="Q221" s="22"/>
      <c r="R221" s="22"/>
      <c r="S221" s="23" t="str">
        <f aca="false">IF(A221="","",COUNTIF(Registo!$B$2:$B$501,A221))</f>
        <v/>
      </c>
      <c r="T221" s="17" t="str">
        <f aca="false">IF(OR(A221="",S221=0),"",LOOKUP(2,1/(Registo!$B$2:$B$501=A221),Registo!$E$2:$E$501))</f>
        <v/>
      </c>
      <c r="U221" s="24"/>
    </row>
    <row r="222" customFormat="false" ht="15" hidden="false" customHeight="false" outlineLevel="0" collapsed="false">
      <c r="A222" s="22"/>
      <c r="B222" s="21"/>
      <c r="C222" s="22"/>
      <c r="D222" s="22"/>
      <c r="E222" s="16"/>
      <c r="F222" s="16"/>
      <c r="G222" s="16"/>
      <c r="H222" s="16"/>
      <c r="I222" s="16"/>
      <c r="J222" s="17" t="str">
        <f aca="false">IF(AND(A222="",B222=""),"",IF(SUM(E222:H222)&gt;0,SUM(E222:H222),I222))</f>
        <v/>
      </c>
      <c r="K222" s="17" t="str">
        <f aca="false">IF(J222="","",ROUND(IF(SUM(E222:H222)&gt;0,E222*(1+Config!$C$4)+F222*(1+Config!$C$5)+G222*(1+Config!$C$6)+H222*(1+Config!$C$7),I222*(1+Config!$C$8)),2))</f>
        <v/>
      </c>
      <c r="L222" s="18"/>
      <c r="M222" s="19" t="str">
        <f aca="false">IF(J222="","",IF(L222="",Config!$C$3,L222))</f>
        <v/>
      </c>
      <c r="N222" s="20" t="str">
        <f aca="false">IF(K222="","",ROUND(K222*(1+M222),2))</f>
        <v/>
      </c>
      <c r="O222" s="21"/>
      <c r="P222" s="21"/>
      <c r="Q222" s="22"/>
      <c r="R222" s="22"/>
      <c r="S222" s="23" t="str">
        <f aca="false">IF(A222="","",COUNTIF(Registo!$B$2:$B$501,A222))</f>
        <v/>
      </c>
      <c r="T222" s="17" t="str">
        <f aca="false">IF(OR(A222="",S222=0),"",LOOKUP(2,1/(Registo!$B$2:$B$501=A222),Registo!$E$2:$E$501))</f>
        <v/>
      </c>
      <c r="U222" s="24"/>
    </row>
    <row r="223" customFormat="false" ht="15" hidden="false" customHeight="false" outlineLevel="0" collapsed="false">
      <c r="A223" s="22"/>
      <c r="B223" s="21"/>
      <c r="C223" s="22"/>
      <c r="D223" s="22"/>
      <c r="E223" s="16"/>
      <c r="F223" s="16"/>
      <c r="G223" s="16"/>
      <c r="H223" s="16"/>
      <c r="I223" s="16"/>
      <c r="J223" s="17" t="str">
        <f aca="false">IF(AND(A223="",B223=""),"",IF(SUM(E223:H223)&gt;0,SUM(E223:H223),I223))</f>
        <v/>
      </c>
      <c r="K223" s="17" t="str">
        <f aca="false">IF(J223="","",ROUND(IF(SUM(E223:H223)&gt;0,E223*(1+Config!$C$4)+F223*(1+Config!$C$5)+G223*(1+Config!$C$6)+H223*(1+Config!$C$7),I223*(1+Config!$C$8)),2))</f>
        <v/>
      </c>
      <c r="L223" s="18"/>
      <c r="M223" s="19" t="str">
        <f aca="false">IF(J223="","",IF(L223="",Config!$C$3,L223))</f>
        <v/>
      </c>
      <c r="N223" s="20" t="str">
        <f aca="false">IF(K223="","",ROUND(K223*(1+M223),2))</f>
        <v/>
      </c>
      <c r="O223" s="21"/>
      <c r="P223" s="21"/>
      <c r="Q223" s="22"/>
      <c r="R223" s="22"/>
      <c r="S223" s="23" t="str">
        <f aca="false">IF(A223="","",COUNTIF(Registo!$B$2:$B$501,A223))</f>
        <v/>
      </c>
      <c r="T223" s="17" t="str">
        <f aca="false">IF(OR(A223="",S223=0),"",LOOKUP(2,1/(Registo!$B$2:$B$501=A223),Registo!$E$2:$E$501))</f>
        <v/>
      </c>
      <c r="U223" s="24"/>
    </row>
    <row r="224" customFormat="false" ht="15" hidden="false" customHeight="false" outlineLevel="0" collapsed="false">
      <c r="A224" s="22"/>
      <c r="B224" s="21"/>
      <c r="C224" s="22"/>
      <c r="D224" s="22"/>
      <c r="E224" s="16"/>
      <c r="F224" s="16"/>
      <c r="G224" s="16"/>
      <c r="H224" s="16"/>
      <c r="I224" s="16"/>
      <c r="J224" s="17" t="str">
        <f aca="false">IF(AND(A224="",B224=""),"",IF(SUM(E224:H224)&gt;0,SUM(E224:H224),I224))</f>
        <v/>
      </c>
      <c r="K224" s="17" t="str">
        <f aca="false">IF(J224="","",ROUND(IF(SUM(E224:H224)&gt;0,E224*(1+Config!$C$4)+F224*(1+Config!$C$5)+G224*(1+Config!$C$6)+H224*(1+Config!$C$7),I224*(1+Config!$C$8)),2))</f>
        <v/>
      </c>
      <c r="L224" s="18"/>
      <c r="M224" s="19" t="str">
        <f aca="false">IF(J224="","",IF(L224="",Config!$C$3,L224))</f>
        <v/>
      </c>
      <c r="N224" s="20" t="str">
        <f aca="false">IF(K224="","",ROUND(K224*(1+M224),2))</f>
        <v/>
      </c>
      <c r="O224" s="21"/>
      <c r="P224" s="21"/>
      <c r="Q224" s="22"/>
      <c r="R224" s="22"/>
      <c r="S224" s="23" t="str">
        <f aca="false">IF(A224="","",COUNTIF(Registo!$B$2:$B$501,A224))</f>
        <v/>
      </c>
      <c r="T224" s="17" t="str">
        <f aca="false">IF(OR(A224="",S224=0),"",LOOKUP(2,1/(Registo!$B$2:$B$501=A224),Registo!$E$2:$E$501))</f>
        <v/>
      </c>
      <c r="U224" s="24"/>
    </row>
    <row r="225" customFormat="false" ht="15" hidden="false" customHeight="false" outlineLevel="0" collapsed="false">
      <c r="A225" s="22"/>
      <c r="B225" s="21"/>
      <c r="C225" s="22"/>
      <c r="D225" s="22"/>
      <c r="E225" s="16"/>
      <c r="F225" s="16"/>
      <c r="G225" s="16"/>
      <c r="H225" s="16"/>
      <c r="I225" s="16"/>
      <c r="J225" s="17" t="str">
        <f aca="false">IF(AND(A225="",B225=""),"",IF(SUM(E225:H225)&gt;0,SUM(E225:H225),I225))</f>
        <v/>
      </c>
      <c r="K225" s="17" t="str">
        <f aca="false">IF(J225="","",ROUND(IF(SUM(E225:H225)&gt;0,E225*(1+Config!$C$4)+F225*(1+Config!$C$5)+G225*(1+Config!$C$6)+H225*(1+Config!$C$7),I225*(1+Config!$C$8)),2))</f>
        <v/>
      </c>
      <c r="L225" s="18"/>
      <c r="M225" s="19" t="str">
        <f aca="false">IF(J225="","",IF(L225="",Config!$C$3,L225))</f>
        <v/>
      </c>
      <c r="N225" s="20" t="str">
        <f aca="false">IF(K225="","",ROUND(K225*(1+M225),2))</f>
        <v/>
      </c>
      <c r="O225" s="21"/>
      <c r="P225" s="21"/>
      <c r="Q225" s="22"/>
      <c r="R225" s="22"/>
      <c r="S225" s="23" t="str">
        <f aca="false">IF(A225="","",COUNTIF(Registo!$B$2:$B$501,A225))</f>
        <v/>
      </c>
      <c r="T225" s="17" t="str">
        <f aca="false">IF(OR(A225="",S225=0),"",LOOKUP(2,1/(Registo!$B$2:$B$501=A225),Registo!$E$2:$E$501))</f>
        <v/>
      </c>
      <c r="U225" s="24"/>
    </row>
    <row r="226" customFormat="false" ht="15" hidden="false" customHeight="false" outlineLevel="0" collapsed="false">
      <c r="A226" s="22"/>
      <c r="B226" s="21"/>
      <c r="C226" s="22"/>
      <c r="D226" s="22"/>
      <c r="E226" s="16"/>
      <c r="F226" s="16"/>
      <c r="G226" s="16"/>
      <c r="H226" s="16"/>
      <c r="I226" s="16"/>
      <c r="J226" s="17" t="str">
        <f aca="false">IF(AND(A226="",B226=""),"",IF(SUM(E226:H226)&gt;0,SUM(E226:H226),I226))</f>
        <v/>
      </c>
      <c r="K226" s="17" t="str">
        <f aca="false">IF(J226="","",ROUND(IF(SUM(E226:H226)&gt;0,E226*(1+Config!$C$4)+F226*(1+Config!$C$5)+G226*(1+Config!$C$6)+H226*(1+Config!$C$7),I226*(1+Config!$C$8)),2))</f>
        <v/>
      </c>
      <c r="L226" s="18"/>
      <c r="M226" s="19" t="str">
        <f aca="false">IF(J226="","",IF(L226="",Config!$C$3,L226))</f>
        <v/>
      </c>
      <c r="N226" s="20" t="str">
        <f aca="false">IF(K226="","",ROUND(K226*(1+M226),2))</f>
        <v/>
      </c>
      <c r="O226" s="21"/>
      <c r="P226" s="21"/>
      <c r="Q226" s="22"/>
      <c r="R226" s="22"/>
      <c r="S226" s="23" t="str">
        <f aca="false">IF(A226="","",COUNTIF(Registo!$B$2:$B$501,A226))</f>
        <v/>
      </c>
      <c r="T226" s="17" t="str">
        <f aca="false">IF(OR(A226="",S226=0),"",LOOKUP(2,1/(Registo!$B$2:$B$501=A226),Registo!$E$2:$E$501))</f>
        <v/>
      </c>
      <c r="U226" s="24"/>
    </row>
    <row r="227" customFormat="false" ht="15" hidden="false" customHeight="false" outlineLevel="0" collapsed="false">
      <c r="A227" s="22"/>
      <c r="B227" s="21"/>
      <c r="C227" s="22"/>
      <c r="D227" s="22"/>
      <c r="E227" s="16"/>
      <c r="F227" s="16"/>
      <c r="G227" s="16"/>
      <c r="H227" s="16"/>
      <c r="I227" s="16"/>
      <c r="J227" s="17" t="str">
        <f aca="false">IF(AND(A227="",B227=""),"",IF(SUM(E227:H227)&gt;0,SUM(E227:H227),I227))</f>
        <v/>
      </c>
      <c r="K227" s="17" t="str">
        <f aca="false">IF(J227="","",ROUND(IF(SUM(E227:H227)&gt;0,E227*(1+Config!$C$4)+F227*(1+Config!$C$5)+G227*(1+Config!$C$6)+H227*(1+Config!$C$7),I227*(1+Config!$C$8)),2))</f>
        <v/>
      </c>
      <c r="L227" s="18"/>
      <c r="M227" s="19" t="str">
        <f aca="false">IF(J227="","",IF(L227="",Config!$C$3,L227))</f>
        <v/>
      </c>
      <c r="N227" s="20" t="str">
        <f aca="false">IF(K227="","",ROUND(K227*(1+M227),2))</f>
        <v/>
      </c>
      <c r="O227" s="21"/>
      <c r="P227" s="21"/>
      <c r="Q227" s="22"/>
      <c r="R227" s="22"/>
      <c r="S227" s="23" t="str">
        <f aca="false">IF(A227="","",COUNTIF(Registo!$B$2:$B$501,A227))</f>
        <v/>
      </c>
      <c r="T227" s="17" t="str">
        <f aca="false">IF(OR(A227="",S227=0),"",LOOKUP(2,1/(Registo!$B$2:$B$501=A227),Registo!$E$2:$E$501))</f>
        <v/>
      </c>
      <c r="U227" s="24"/>
    </row>
    <row r="228" customFormat="false" ht="15" hidden="false" customHeight="false" outlineLevel="0" collapsed="false">
      <c r="A228" s="22"/>
      <c r="B228" s="21"/>
      <c r="C228" s="22"/>
      <c r="D228" s="22"/>
      <c r="E228" s="16"/>
      <c r="F228" s="16"/>
      <c r="G228" s="16"/>
      <c r="H228" s="16"/>
      <c r="I228" s="16"/>
      <c r="J228" s="17" t="str">
        <f aca="false">IF(AND(A228="",B228=""),"",IF(SUM(E228:H228)&gt;0,SUM(E228:H228),I228))</f>
        <v/>
      </c>
      <c r="K228" s="17" t="str">
        <f aca="false">IF(J228="","",ROUND(IF(SUM(E228:H228)&gt;0,E228*(1+Config!$C$4)+F228*(1+Config!$C$5)+G228*(1+Config!$C$6)+H228*(1+Config!$C$7),I228*(1+Config!$C$8)),2))</f>
        <v/>
      </c>
      <c r="L228" s="18"/>
      <c r="M228" s="19" t="str">
        <f aca="false">IF(J228="","",IF(L228="",Config!$C$3,L228))</f>
        <v/>
      </c>
      <c r="N228" s="20" t="str">
        <f aca="false">IF(K228="","",ROUND(K228*(1+M228),2))</f>
        <v/>
      </c>
      <c r="O228" s="21"/>
      <c r="P228" s="21"/>
      <c r="Q228" s="22"/>
      <c r="R228" s="22"/>
      <c r="S228" s="23" t="str">
        <f aca="false">IF(A228="","",COUNTIF(Registo!$B$2:$B$501,A228))</f>
        <v/>
      </c>
      <c r="T228" s="17" t="str">
        <f aca="false">IF(OR(A228="",S228=0),"",LOOKUP(2,1/(Registo!$B$2:$B$501=A228),Registo!$E$2:$E$501))</f>
        <v/>
      </c>
      <c r="U228" s="24"/>
    </row>
    <row r="229" customFormat="false" ht="15" hidden="false" customHeight="false" outlineLevel="0" collapsed="false">
      <c r="A229" s="22"/>
      <c r="B229" s="21"/>
      <c r="C229" s="22"/>
      <c r="D229" s="22"/>
      <c r="E229" s="16"/>
      <c r="F229" s="16"/>
      <c r="G229" s="16"/>
      <c r="H229" s="16"/>
      <c r="I229" s="16"/>
      <c r="J229" s="17" t="str">
        <f aca="false">IF(AND(A229="",B229=""),"",IF(SUM(E229:H229)&gt;0,SUM(E229:H229),I229))</f>
        <v/>
      </c>
      <c r="K229" s="17" t="str">
        <f aca="false">IF(J229="","",ROUND(IF(SUM(E229:H229)&gt;0,E229*(1+Config!$C$4)+F229*(1+Config!$C$5)+G229*(1+Config!$C$6)+H229*(1+Config!$C$7),I229*(1+Config!$C$8)),2))</f>
        <v/>
      </c>
      <c r="L229" s="18"/>
      <c r="M229" s="19" t="str">
        <f aca="false">IF(J229="","",IF(L229="",Config!$C$3,L229))</f>
        <v/>
      </c>
      <c r="N229" s="20" t="str">
        <f aca="false">IF(K229="","",ROUND(K229*(1+M229),2))</f>
        <v/>
      </c>
      <c r="O229" s="21"/>
      <c r="P229" s="21"/>
      <c r="Q229" s="22"/>
      <c r="R229" s="22"/>
      <c r="S229" s="23" t="str">
        <f aca="false">IF(A229="","",COUNTIF(Registo!$B$2:$B$501,A229))</f>
        <v/>
      </c>
      <c r="T229" s="17" t="str">
        <f aca="false">IF(OR(A229="",S229=0),"",LOOKUP(2,1/(Registo!$B$2:$B$501=A229),Registo!$E$2:$E$501))</f>
        <v/>
      </c>
      <c r="U229" s="24"/>
    </row>
    <row r="230" customFormat="false" ht="15" hidden="false" customHeight="false" outlineLevel="0" collapsed="false">
      <c r="A230" s="22"/>
      <c r="B230" s="21"/>
      <c r="C230" s="22"/>
      <c r="D230" s="22"/>
      <c r="E230" s="16"/>
      <c r="F230" s="16"/>
      <c r="G230" s="16"/>
      <c r="H230" s="16"/>
      <c r="I230" s="16"/>
      <c r="J230" s="17" t="str">
        <f aca="false">IF(AND(A230="",B230=""),"",IF(SUM(E230:H230)&gt;0,SUM(E230:H230),I230))</f>
        <v/>
      </c>
      <c r="K230" s="17" t="str">
        <f aca="false">IF(J230="","",ROUND(IF(SUM(E230:H230)&gt;0,E230*(1+Config!$C$4)+F230*(1+Config!$C$5)+G230*(1+Config!$C$6)+H230*(1+Config!$C$7),I230*(1+Config!$C$8)),2))</f>
        <v/>
      </c>
      <c r="L230" s="18"/>
      <c r="M230" s="19" t="str">
        <f aca="false">IF(J230="","",IF(L230="",Config!$C$3,L230))</f>
        <v/>
      </c>
      <c r="N230" s="20" t="str">
        <f aca="false">IF(K230="","",ROUND(K230*(1+M230),2))</f>
        <v/>
      </c>
      <c r="O230" s="21"/>
      <c r="P230" s="21"/>
      <c r="Q230" s="22"/>
      <c r="R230" s="22"/>
      <c r="S230" s="23" t="str">
        <f aca="false">IF(A230="","",COUNTIF(Registo!$B$2:$B$501,A230))</f>
        <v/>
      </c>
      <c r="T230" s="17" t="str">
        <f aca="false">IF(OR(A230="",S230=0),"",LOOKUP(2,1/(Registo!$B$2:$B$501=A230),Registo!$E$2:$E$501))</f>
        <v/>
      </c>
      <c r="U230" s="24"/>
    </row>
    <row r="231" customFormat="false" ht="15" hidden="false" customHeight="false" outlineLevel="0" collapsed="false">
      <c r="A231" s="22"/>
      <c r="B231" s="21"/>
      <c r="C231" s="22"/>
      <c r="D231" s="22"/>
      <c r="E231" s="16"/>
      <c r="F231" s="16"/>
      <c r="G231" s="16"/>
      <c r="H231" s="16"/>
      <c r="I231" s="16"/>
      <c r="J231" s="17" t="str">
        <f aca="false">IF(AND(A231="",B231=""),"",IF(SUM(E231:H231)&gt;0,SUM(E231:H231),I231))</f>
        <v/>
      </c>
      <c r="K231" s="17" t="str">
        <f aca="false">IF(J231="","",ROUND(IF(SUM(E231:H231)&gt;0,E231*(1+Config!$C$4)+F231*(1+Config!$C$5)+G231*(1+Config!$C$6)+H231*(1+Config!$C$7),I231*(1+Config!$C$8)),2))</f>
        <v/>
      </c>
      <c r="L231" s="18"/>
      <c r="M231" s="19" t="str">
        <f aca="false">IF(J231="","",IF(L231="",Config!$C$3,L231))</f>
        <v/>
      </c>
      <c r="N231" s="20" t="str">
        <f aca="false">IF(K231="","",ROUND(K231*(1+M231),2))</f>
        <v/>
      </c>
      <c r="O231" s="21"/>
      <c r="P231" s="21"/>
      <c r="Q231" s="22"/>
      <c r="R231" s="22"/>
      <c r="S231" s="23" t="str">
        <f aca="false">IF(A231="","",COUNTIF(Registo!$B$2:$B$501,A231))</f>
        <v/>
      </c>
      <c r="T231" s="17" t="str">
        <f aca="false">IF(OR(A231="",S231=0),"",LOOKUP(2,1/(Registo!$B$2:$B$501=A231),Registo!$E$2:$E$501))</f>
        <v/>
      </c>
      <c r="U231" s="24"/>
    </row>
    <row r="232" customFormat="false" ht="15" hidden="false" customHeight="false" outlineLevel="0" collapsed="false">
      <c r="A232" s="22"/>
      <c r="B232" s="21"/>
      <c r="C232" s="22"/>
      <c r="D232" s="22"/>
      <c r="E232" s="16"/>
      <c r="F232" s="16"/>
      <c r="G232" s="16"/>
      <c r="H232" s="16"/>
      <c r="I232" s="16"/>
      <c r="J232" s="17" t="str">
        <f aca="false">IF(AND(A232="",B232=""),"",IF(SUM(E232:H232)&gt;0,SUM(E232:H232),I232))</f>
        <v/>
      </c>
      <c r="K232" s="17" t="str">
        <f aca="false">IF(J232="","",ROUND(IF(SUM(E232:H232)&gt;0,E232*(1+Config!$C$4)+F232*(1+Config!$C$5)+G232*(1+Config!$C$6)+H232*(1+Config!$C$7),I232*(1+Config!$C$8)),2))</f>
        <v/>
      </c>
      <c r="L232" s="18"/>
      <c r="M232" s="19" t="str">
        <f aca="false">IF(J232="","",IF(L232="",Config!$C$3,L232))</f>
        <v/>
      </c>
      <c r="N232" s="20" t="str">
        <f aca="false">IF(K232="","",ROUND(K232*(1+M232),2))</f>
        <v/>
      </c>
      <c r="O232" s="21"/>
      <c r="P232" s="21"/>
      <c r="Q232" s="22"/>
      <c r="R232" s="22"/>
      <c r="S232" s="23" t="str">
        <f aca="false">IF(A232="","",COUNTIF(Registo!$B$2:$B$501,A232))</f>
        <v/>
      </c>
      <c r="T232" s="17" t="str">
        <f aca="false">IF(OR(A232="",S232=0),"",LOOKUP(2,1/(Registo!$B$2:$B$501=A232),Registo!$E$2:$E$501))</f>
        <v/>
      </c>
      <c r="U232" s="24"/>
    </row>
    <row r="233" customFormat="false" ht="15" hidden="false" customHeight="false" outlineLevel="0" collapsed="false">
      <c r="A233" s="22"/>
      <c r="B233" s="21"/>
      <c r="C233" s="22"/>
      <c r="D233" s="22"/>
      <c r="E233" s="16"/>
      <c r="F233" s="16"/>
      <c r="G233" s="16"/>
      <c r="H233" s="16"/>
      <c r="I233" s="16"/>
      <c r="J233" s="17" t="str">
        <f aca="false">IF(AND(A233="",B233=""),"",IF(SUM(E233:H233)&gt;0,SUM(E233:H233),I233))</f>
        <v/>
      </c>
      <c r="K233" s="17" t="str">
        <f aca="false">IF(J233="","",ROUND(IF(SUM(E233:H233)&gt;0,E233*(1+Config!$C$4)+F233*(1+Config!$C$5)+G233*(1+Config!$C$6)+H233*(1+Config!$C$7),I233*(1+Config!$C$8)),2))</f>
        <v/>
      </c>
      <c r="L233" s="18"/>
      <c r="M233" s="19" t="str">
        <f aca="false">IF(J233="","",IF(L233="",Config!$C$3,L233))</f>
        <v/>
      </c>
      <c r="N233" s="20" t="str">
        <f aca="false">IF(K233="","",ROUND(K233*(1+M233),2))</f>
        <v/>
      </c>
      <c r="O233" s="21"/>
      <c r="P233" s="21"/>
      <c r="Q233" s="22"/>
      <c r="R233" s="22"/>
      <c r="S233" s="23" t="str">
        <f aca="false">IF(A233="","",COUNTIF(Registo!$B$2:$B$501,A233))</f>
        <v/>
      </c>
      <c r="T233" s="17" t="str">
        <f aca="false">IF(OR(A233="",S233=0),"",LOOKUP(2,1/(Registo!$B$2:$B$501=A233),Registo!$E$2:$E$501))</f>
        <v/>
      </c>
      <c r="U233" s="24"/>
    </row>
    <row r="234" customFormat="false" ht="15" hidden="false" customHeight="false" outlineLevel="0" collapsed="false">
      <c r="A234" s="22"/>
      <c r="B234" s="21"/>
      <c r="C234" s="22"/>
      <c r="D234" s="22"/>
      <c r="E234" s="16"/>
      <c r="F234" s="16"/>
      <c r="G234" s="16"/>
      <c r="H234" s="16"/>
      <c r="I234" s="16"/>
      <c r="J234" s="17" t="str">
        <f aca="false">IF(AND(A234="",B234=""),"",IF(SUM(E234:H234)&gt;0,SUM(E234:H234),I234))</f>
        <v/>
      </c>
      <c r="K234" s="17" t="str">
        <f aca="false">IF(J234="","",ROUND(IF(SUM(E234:H234)&gt;0,E234*(1+Config!$C$4)+F234*(1+Config!$C$5)+G234*(1+Config!$C$6)+H234*(1+Config!$C$7),I234*(1+Config!$C$8)),2))</f>
        <v/>
      </c>
      <c r="L234" s="18"/>
      <c r="M234" s="19" t="str">
        <f aca="false">IF(J234="","",IF(L234="",Config!$C$3,L234))</f>
        <v/>
      </c>
      <c r="N234" s="20" t="str">
        <f aca="false">IF(K234="","",ROUND(K234*(1+M234),2))</f>
        <v/>
      </c>
      <c r="O234" s="21"/>
      <c r="P234" s="21"/>
      <c r="Q234" s="22"/>
      <c r="R234" s="22"/>
      <c r="S234" s="23" t="str">
        <f aca="false">IF(A234="","",COUNTIF(Registo!$B$2:$B$501,A234))</f>
        <v/>
      </c>
      <c r="T234" s="17" t="str">
        <f aca="false">IF(OR(A234="",S234=0),"",LOOKUP(2,1/(Registo!$B$2:$B$501=A234),Registo!$E$2:$E$501))</f>
        <v/>
      </c>
      <c r="U234" s="24"/>
    </row>
    <row r="235" customFormat="false" ht="15" hidden="false" customHeight="false" outlineLevel="0" collapsed="false">
      <c r="A235" s="22"/>
      <c r="B235" s="21"/>
      <c r="C235" s="22"/>
      <c r="D235" s="22"/>
      <c r="E235" s="16"/>
      <c r="F235" s="16"/>
      <c r="G235" s="16"/>
      <c r="H235" s="16"/>
      <c r="I235" s="16"/>
      <c r="J235" s="17" t="str">
        <f aca="false">IF(AND(A235="",B235=""),"",IF(SUM(E235:H235)&gt;0,SUM(E235:H235),I235))</f>
        <v/>
      </c>
      <c r="K235" s="17" t="str">
        <f aca="false">IF(J235="","",ROUND(IF(SUM(E235:H235)&gt;0,E235*(1+Config!$C$4)+F235*(1+Config!$C$5)+G235*(1+Config!$C$6)+H235*(1+Config!$C$7),I235*(1+Config!$C$8)),2))</f>
        <v/>
      </c>
      <c r="L235" s="18"/>
      <c r="M235" s="19" t="str">
        <f aca="false">IF(J235="","",IF(L235="",Config!$C$3,L235))</f>
        <v/>
      </c>
      <c r="N235" s="20" t="str">
        <f aca="false">IF(K235="","",ROUND(K235*(1+M235),2))</f>
        <v/>
      </c>
      <c r="O235" s="21"/>
      <c r="P235" s="21"/>
      <c r="Q235" s="22"/>
      <c r="R235" s="22"/>
      <c r="S235" s="23" t="str">
        <f aca="false">IF(A235="","",COUNTIF(Registo!$B$2:$B$501,A235))</f>
        <v/>
      </c>
      <c r="T235" s="17" t="str">
        <f aca="false">IF(OR(A235="",S235=0),"",LOOKUP(2,1/(Registo!$B$2:$B$501=A235),Registo!$E$2:$E$501))</f>
        <v/>
      </c>
      <c r="U235" s="24"/>
    </row>
    <row r="236" customFormat="false" ht="15" hidden="false" customHeight="false" outlineLevel="0" collapsed="false">
      <c r="A236" s="22"/>
      <c r="B236" s="21"/>
      <c r="C236" s="22"/>
      <c r="D236" s="22"/>
      <c r="E236" s="16"/>
      <c r="F236" s="16"/>
      <c r="G236" s="16"/>
      <c r="H236" s="16"/>
      <c r="I236" s="16"/>
      <c r="J236" s="17" t="str">
        <f aca="false">IF(AND(A236="",B236=""),"",IF(SUM(E236:H236)&gt;0,SUM(E236:H236),I236))</f>
        <v/>
      </c>
      <c r="K236" s="17" t="str">
        <f aca="false">IF(J236="","",ROUND(IF(SUM(E236:H236)&gt;0,E236*(1+Config!$C$4)+F236*(1+Config!$C$5)+G236*(1+Config!$C$6)+H236*(1+Config!$C$7),I236*(1+Config!$C$8)),2))</f>
        <v/>
      </c>
      <c r="L236" s="18"/>
      <c r="M236" s="19" t="str">
        <f aca="false">IF(J236="","",IF(L236="",Config!$C$3,L236))</f>
        <v/>
      </c>
      <c r="N236" s="20" t="str">
        <f aca="false">IF(K236="","",ROUND(K236*(1+M236),2))</f>
        <v/>
      </c>
      <c r="O236" s="21"/>
      <c r="P236" s="21"/>
      <c r="Q236" s="22"/>
      <c r="R236" s="22"/>
      <c r="S236" s="23" t="str">
        <f aca="false">IF(A236="","",COUNTIF(Registo!$B$2:$B$501,A236))</f>
        <v/>
      </c>
      <c r="T236" s="17" t="str">
        <f aca="false">IF(OR(A236="",S236=0),"",LOOKUP(2,1/(Registo!$B$2:$B$501=A236),Registo!$E$2:$E$501))</f>
        <v/>
      </c>
      <c r="U236" s="24"/>
    </row>
    <row r="237" customFormat="false" ht="15" hidden="false" customHeight="false" outlineLevel="0" collapsed="false">
      <c r="A237" s="22"/>
      <c r="B237" s="21"/>
      <c r="C237" s="22"/>
      <c r="D237" s="22"/>
      <c r="E237" s="16"/>
      <c r="F237" s="16"/>
      <c r="G237" s="16"/>
      <c r="H237" s="16"/>
      <c r="I237" s="16"/>
      <c r="J237" s="17" t="str">
        <f aca="false">IF(AND(A237="",B237=""),"",IF(SUM(E237:H237)&gt;0,SUM(E237:H237),I237))</f>
        <v/>
      </c>
      <c r="K237" s="17" t="str">
        <f aca="false">IF(J237="","",ROUND(IF(SUM(E237:H237)&gt;0,E237*(1+Config!$C$4)+F237*(1+Config!$C$5)+G237*(1+Config!$C$6)+H237*(1+Config!$C$7),I237*(1+Config!$C$8)),2))</f>
        <v/>
      </c>
      <c r="L237" s="18"/>
      <c r="M237" s="19" t="str">
        <f aca="false">IF(J237="","",IF(L237="",Config!$C$3,L237))</f>
        <v/>
      </c>
      <c r="N237" s="20" t="str">
        <f aca="false">IF(K237="","",ROUND(K237*(1+M237),2))</f>
        <v/>
      </c>
      <c r="O237" s="21"/>
      <c r="P237" s="21"/>
      <c r="Q237" s="22"/>
      <c r="R237" s="22"/>
      <c r="S237" s="23" t="str">
        <f aca="false">IF(A237="","",COUNTIF(Registo!$B$2:$B$501,A237))</f>
        <v/>
      </c>
      <c r="T237" s="17" t="str">
        <f aca="false">IF(OR(A237="",S237=0),"",LOOKUP(2,1/(Registo!$B$2:$B$501=A237),Registo!$E$2:$E$501))</f>
        <v/>
      </c>
      <c r="U237" s="24"/>
    </row>
    <row r="238" customFormat="false" ht="15" hidden="false" customHeight="false" outlineLevel="0" collapsed="false">
      <c r="A238" s="22"/>
      <c r="B238" s="21"/>
      <c r="C238" s="22"/>
      <c r="D238" s="22"/>
      <c r="E238" s="16"/>
      <c r="F238" s="16"/>
      <c r="G238" s="16"/>
      <c r="H238" s="16"/>
      <c r="I238" s="16"/>
      <c r="J238" s="17" t="str">
        <f aca="false">IF(AND(A238="",B238=""),"",IF(SUM(E238:H238)&gt;0,SUM(E238:H238),I238))</f>
        <v/>
      </c>
      <c r="K238" s="17" t="str">
        <f aca="false">IF(J238="","",ROUND(IF(SUM(E238:H238)&gt;0,E238*(1+Config!$C$4)+F238*(1+Config!$C$5)+G238*(1+Config!$C$6)+H238*(1+Config!$C$7),I238*(1+Config!$C$8)),2))</f>
        <v/>
      </c>
      <c r="L238" s="18"/>
      <c r="M238" s="19" t="str">
        <f aca="false">IF(J238="","",IF(L238="",Config!$C$3,L238))</f>
        <v/>
      </c>
      <c r="N238" s="20" t="str">
        <f aca="false">IF(K238="","",ROUND(K238*(1+M238),2))</f>
        <v/>
      </c>
      <c r="O238" s="21"/>
      <c r="P238" s="21"/>
      <c r="Q238" s="22"/>
      <c r="R238" s="22"/>
      <c r="S238" s="23" t="str">
        <f aca="false">IF(A238="","",COUNTIF(Registo!$B$2:$B$501,A238))</f>
        <v/>
      </c>
      <c r="T238" s="17" t="str">
        <f aca="false">IF(OR(A238="",S238=0),"",LOOKUP(2,1/(Registo!$B$2:$B$501=A238),Registo!$E$2:$E$501))</f>
        <v/>
      </c>
      <c r="U238" s="24"/>
    </row>
    <row r="239" customFormat="false" ht="15" hidden="false" customHeight="false" outlineLevel="0" collapsed="false">
      <c r="A239" s="22"/>
      <c r="B239" s="21"/>
      <c r="C239" s="22"/>
      <c r="D239" s="22"/>
      <c r="E239" s="16"/>
      <c r="F239" s="16"/>
      <c r="G239" s="16"/>
      <c r="H239" s="16"/>
      <c r="I239" s="16"/>
      <c r="J239" s="17" t="str">
        <f aca="false">IF(AND(A239="",B239=""),"",IF(SUM(E239:H239)&gt;0,SUM(E239:H239),I239))</f>
        <v/>
      </c>
      <c r="K239" s="17" t="str">
        <f aca="false">IF(J239="","",ROUND(IF(SUM(E239:H239)&gt;0,E239*(1+Config!$C$4)+F239*(1+Config!$C$5)+G239*(1+Config!$C$6)+H239*(1+Config!$C$7),I239*(1+Config!$C$8)),2))</f>
        <v/>
      </c>
      <c r="L239" s="18"/>
      <c r="M239" s="19" t="str">
        <f aca="false">IF(J239="","",IF(L239="",Config!$C$3,L239))</f>
        <v/>
      </c>
      <c r="N239" s="20" t="str">
        <f aca="false">IF(K239="","",ROUND(K239*(1+M239),2))</f>
        <v/>
      </c>
      <c r="O239" s="21"/>
      <c r="P239" s="21"/>
      <c r="Q239" s="22"/>
      <c r="R239" s="22"/>
      <c r="S239" s="23" t="str">
        <f aca="false">IF(A239="","",COUNTIF(Registo!$B$2:$B$501,A239))</f>
        <v/>
      </c>
      <c r="T239" s="17" t="str">
        <f aca="false">IF(OR(A239="",S239=0),"",LOOKUP(2,1/(Registo!$B$2:$B$501=A239),Registo!$E$2:$E$501))</f>
        <v/>
      </c>
      <c r="U239" s="24"/>
    </row>
    <row r="240" customFormat="false" ht="15" hidden="false" customHeight="false" outlineLevel="0" collapsed="false">
      <c r="A240" s="22"/>
      <c r="B240" s="21"/>
      <c r="C240" s="22"/>
      <c r="D240" s="22"/>
      <c r="E240" s="16"/>
      <c r="F240" s="16"/>
      <c r="G240" s="16"/>
      <c r="H240" s="16"/>
      <c r="I240" s="16"/>
      <c r="J240" s="17" t="str">
        <f aca="false">IF(AND(A240="",B240=""),"",IF(SUM(E240:H240)&gt;0,SUM(E240:H240),I240))</f>
        <v/>
      </c>
      <c r="K240" s="17" t="str">
        <f aca="false">IF(J240="","",ROUND(IF(SUM(E240:H240)&gt;0,E240*(1+Config!$C$4)+F240*(1+Config!$C$5)+G240*(1+Config!$C$6)+H240*(1+Config!$C$7),I240*(1+Config!$C$8)),2))</f>
        <v/>
      </c>
      <c r="L240" s="18"/>
      <c r="M240" s="19" t="str">
        <f aca="false">IF(J240="","",IF(L240="",Config!$C$3,L240))</f>
        <v/>
      </c>
      <c r="N240" s="20" t="str">
        <f aca="false">IF(K240="","",ROUND(K240*(1+M240),2))</f>
        <v/>
      </c>
      <c r="O240" s="21"/>
      <c r="P240" s="21"/>
      <c r="Q240" s="22"/>
      <c r="R240" s="22"/>
      <c r="S240" s="23" t="str">
        <f aca="false">IF(A240="","",COUNTIF(Registo!$B$2:$B$501,A240))</f>
        <v/>
      </c>
      <c r="T240" s="17" t="str">
        <f aca="false">IF(OR(A240="",S240=0),"",LOOKUP(2,1/(Registo!$B$2:$B$501=A240),Registo!$E$2:$E$501))</f>
        <v/>
      </c>
      <c r="U240" s="24"/>
    </row>
    <row r="241" customFormat="false" ht="15" hidden="false" customHeight="false" outlineLevel="0" collapsed="false">
      <c r="A241" s="22"/>
      <c r="B241" s="21"/>
      <c r="C241" s="22"/>
      <c r="D241" s="22"/>
      <c r="E241" s="16"/>
      <c r="F241" s="16"/>
      <c r="G241" s="16"/>
      <c r="H241" s="16"/>
      <c r="I241" s="16"/>
      <c r="J241" s="17" t="str">
        <f aca="false">IF(AND(A241="",B241=""),"",IF(SUM(E241:H241)&gt;0,SUM(E241:H241),I241))</f>
        <v/>
      </c>
      <c r="K241" s="17" t="str">
        <f aca="false">IF(J241="","",ROUND(IF(SUM(E241:H241)&gt;0,E241*(1+Config!$C$4)+F241*(1+Config!$C$5)+G241*(1+Config!$C$6)+H241*(1+Config!$C$7),I241*(1+Config!$C$8)),2))</f>
        <v/>
      </c>
      <c r="L241" s="18"/>
      <c r="M241" s="19" t="str">
        <f aca="false">IF(J241="","",IF(L241="",Config!$C$3,L241))</f>
        <v/>
      </c>
      <c r="N241" s="20" t="str">
        <f aca="false">IF(K241="","",ROUND(K241*(1+M241),2))</f>
        <v/>
      </c>
      <c r="O241" s="21"/>
      <c r="P241" s="21"/>
      <c r="Q241" s="22"/>
      <c r="R241" s="22"/>
      <c r="S241" s="23" t="str">
        <f aca="false">IF(A241="","",COUNTIF(Registo!$B$2:$B$501,A241))</f>
        <v/>
      </c>
      <c r="T241" s="17" t="str">
        <f aca="false">IF(OR(A241="",S241=0),"",LOOKUP(2,1/(Registo!$B$2:$B$501=A241),Registo!$E$2:$E$501))</f>
        <v/>
      </c>
      <c r="U241" s="24"/>
    </row>
    <row r="242" customFormat="false" ht="15" hidden="false" customHeight="false" outlineLevel="0" collapsed="false">
      <c r="A242" s="22"/>
      <c r="B242" s="21"/>
      <c r="C242" s="22"/>
      <c r="D242" s="22"/>
      <c r="E242" s="16"/>
      <c r="F242" s="16"/>
      <c r="G242" s="16"/>
      <c r="H242" s="16"/>
      <c r="I242" s="16"/>
      <c r="J242" s="17" t="str">
        <f aca="false">IF(AND(A242="",B242=""),"",IF(SUM(E242:H242)&gt;0,SUM(E242:H242),I242))</f>
        <v/>
      </c>
      <c r="K242" s="17" t="str">
        <f aca="false">IF(J242="","",ROUND(IF(SUM(E242:H242)&gt;0,E242*(1+Config!$C$4)+F242*(1+Config!$C$5)+G242*(1+Config!$C$6)+H242*(1+Config!$C$7),I242*(1+Config!$C$8)),2))</f>
        <v/>
      </c>
      <c r="L242" s="18"/>
      <c r="M242" s="19" t="str">
        <f aca="false">IF(J242="","",IF(L242="",Config!$C$3,L242))</f>
        <v/>
      </c>
      <c r="N242" s="20" t="str">
        <f aca="false">IF(K242="","",ROUND(K242*(1+M242),2))</f>
        <v/>
      </c>
      <c r="O242" s="21"/>
      <c r="P242" s="21"/>
      <c r="Q242" s="22"/>
      <c r="R242" s="22"/>
      <c r="S242" s="23" t="str">
        <f aca="false">IF(A242="","",COUNTIF(Registo!$B$2:$B$501,A242))</f>
        <v/>
      </c>
      <c r="T242" s="17" t="str">
        <f aca="false">IF(OR(A242="",S242=0),"",LOOKUP(2,1/(Registo!$B$2:$B$501=A242),Registo!$E$2:$E$501))</f>
        <v/>
      </c>
      <c r="U242" s="24"/>
    </row>
    <row r="243" customFormat="false" ht="15" hidden="false" customHeight="false" outlineLevel="0" collapsed="false">
      <c r="A243" s="22"/>
      <c r="B243" s="21"/>
      <c r="C243" s="22"/>
      <c r="D243" s="22"/>
      <c r="E243" s="16"/>
      <c r="F243" s="16"/>
      <c r="G243" s="16"/>
      <c r="H243" s="16"/>
      <c r="I243" s="16"/>
      <c r="J243" s="17" t="str">
        <f aca="false">IF(AND(A243="",B243=""),"",IF(SUM(E243:H243)&gt;0,SUM(E243:H243),I243))</f>
        <v/>
      </c>
      <c r="K243" s="17" t="str">
        <f aca="false">IF(J243="","",ROUND(IF(SUM(E243:H243)&gt;0,E243*(1+Config!$C$4)+F243*(1+Config!$C$5)+G243*(1+Config!$C$6)+H243*(1+Config!$C$7),I243*(1+Config!$C$8)),2))</f>
        <v/>
      </c>
      <c r="L243" s="18"/>
      <c r="M243" s="19" t="str">
        <f aca="false">IF(J243="","",IF(L243="",Config!$C$3,L243))</f>
        <v/>
      </c>
      <c r="N243" s="20" t="str">
        <f aca="false">IF(K243="","",ROUND(K243*(1+M243),2))</f>
        <v/>
      </c>
      <c r="O243" s="21"/>
      <c r="P243" s="21"/>
      <c r="Q243" s="22"/>
      <c r="R243" s="22"/>
      <c r="S243" s="23" t="str">
        <f aca="false">IF(A243="","",COUNTIF(Registo!$B$2:$B$501,A243))</f>
        <v/>
      </c>
      <c r="T243" s="17" t="str">
        <f aca="false">IF(OR(A243="",S243=0),"",LOOKUP(2,1/(Registo!$B$2:$B$501=A243),Registo!$E$2:$E$501))</f>
        <v/>
      </c>
      <c r="U243" s="24"/>
    </row>
    <row r="244" customFormat="false" ht="15" hidden="false" customHeight="false" outlineLevel="0" collapsed="false">
      <c r="A244" s="22"/>
      <c r="B244" s="21"/>
      <c r="C244" s="22"/>
      <c r="D244" s="22"/>
      <c r="E244" s="16"/>
      <c r="F244" s="16"/>
      <c r="G244" s="16"/>
      <c r="H244" s="16"/>
      <c r="I244" s="16"/>
      <c r="J244" s="17" t="str">
        <f aca="false">IF(AND(A244="",B244=""),"",IF(SUM(E244:H244)&gt;0,SUM(E244:H244),I244))</f>
        <v/>
      </c>
      <c r="K244" s="17" t="str">
        <f aca="false">IF(J244="","",ROUND(IF(SUM(E244:H244)&gt;0,E244*(1+Config!$C$4)+F244*(1+Config!$C$5)+G244*(1+Config!$C$6)+H244*(1+Config!$C$7),I244*(1+Config!$C$8)),2))</f>
        <v/>
      </c>
      <c r="L244" s="18"/>
      <c r="M244" s="19" t="str">
        <f aca="false">IF(J244="","",IF(L244="",Config!$C$3,L244))</f>
        <v/>
      </c>
      <c r="N244" s="20" t="str">
        <f aca="false">IF(K244="","",ROUND(K244*(1+M244),2))</f>
        <v/>
      </c>
      <c r="O244" s="21"/>
      <c r="P244" s="21"/>
      <c r="Q244" s="22"/>
      <c r="R244" s="22"/>
      <c r="S244" s="23" t="str">
        <f aca="false">IF(A244="","",COUNTIF(Registo!$B$2:$B$501,A244))</f>
        <v/>
      </c>
      <c r="T244" s="17" t="str">
        <f aca="false">IF(OR(A244="",S244=0),"",LOOKUP(2,1/(Registo!$B$2:$B$501=A244),Registo!$E$2:$E$501))</f>
        <v/>
      </c>
      <c r="U244" s="24"/>
    </row>
    <row r="245" customFormat="false" ht="15" hidden="false" customHeight="false" outlineLevel="0" collapsed="false">
      <c r="A245" s="22"/>
      <c r="B245" s="21"/>
      <c r="C245" s="22"/>
      <c r="D245" s="22"/>
      <c r="E245" s="16"/>
      <c r="F245" s="16"/>
      <c r="G245" s="16"/>
      <c r="H245" s="16"/>
      <c r="I245" s="16"/>
      <c r="J245" s="17" t="str">
        <f aca="false">IF(AND(A245="",B245=""),"",IF(SUM(E245:H245)&gt;0,SUM(E245:H245),I245))</f>
        <v/>
      </c>
      <c r="K245" s="17" t="str">
        <f aca="false">IF(J245="","",ROUND(IF(SUM(E245:H245)&gt;0,E245*(1+Config!$C$4)+F245*(1+Config!$C$5)+G245*(1+Config!$C$6)+H245*(1+Config!$C$7),I245*(1+Config!$C$8)),2))</f>
        <v/>
      </c>
      <c r="L245" s="18"/>
      <c r="M245" s="19" t="str">
        <f aca="false">IF(J245="","",IF(L245="",Config!$C$3,L245))</f>
        <v/>
      </c>
      <c r="N245" s="20" t="str">
        <f aca="false">IF(K245="","",ROUND(K245*(1+M245),2))</f>
        <v/>
      </c>
      <c r="O245" s="21"/>
      <c r="P245" s="21"/>
      <c r="Q245" s="22"/>
      <c r="R245" s="22"/>
      <c r="S245" s="23" t="str">
        <f aca="false">IF(A245="","",COUNTIF(Registo!$B$2:$B$501,A245))</f>
        <v/>
      </c>
      <c r="T245" s="17" t="str">
        <f aca="false">IF(OR(A245="",S245=0),"",LOOKUP(2,1/(Registo!$B$2:$B$501=A245),Registo!$E$2:$E$501))</f>
        <v/>
      </c>
      <c r="U245" s="24"/>
    </row>
    <row r="246" customFormat="false" ht="15" hidden="false" customHeight="false" outlineLevel="0" collapsed="false">
      <c r="A246" s="22"/>
      <c r="B246" s="21"/>
      <c r="C246" s="22"/>
      <c r="D246" s="22"/>
      <c r="E246" s="16"/>
      <c r="F246" s="16"/>
      <c r="G246" s="16"/>
      <c r="H246" s="16"/>
      <c r="I246" s="16"/>
      <c r="J246" s="17" t="str">
        <f aca="false">IF(AND(A246="",B246=""),"",IF(SUM(E246:H246)&gt;0,SUM(E246:H246),I246))</f>
        <v/>
      </c>
      <c r="K246" s="17" t="str">
        <f aca="false">IF(J246="","",ROUND(IF(SUM(E246:H246)&gt;0,E246*(1+Config!$C$4)+F246*(1+Config!$C$5)+G246*(1+Config!$C$6)+H246*(1+Config!$C$7),I246*(1+Config!$C$8)),2))</f>
        <v/>
      </c>
      <c r="L246" s="18"/>
      <c r="M246" s="19" t="str">
        <f aca="false">IF(J246="","",IF(L246="",Config!$C$3,L246))</f>
        <v/>
      </c>
      <c r="N246" s="20" t="str">
        <f aca="false">IF(K246="","",ROUND(K246*(1+M246),2))</f>
        <v/>
      </c>
      <c r="O246" s="21"/>
      <c r="P246" s="21"/>
      <c r="Q246" s="22"/>
      <c r="R246" s="22"/>
      <c r="S246" s="23" t="str">
        <f aca="false">IF(A246="","",COUNTIF(Registo!$B$2:$B$501,A246))</f>
        <v/>
      </c>
      <c r="T246" s="17" t="str">
        <f aca="false">IF(OR(A246="",S246=0),"",LOOKUP(2,1/(Registo!$B$2:$B$501=A246),Registo!$E$2:$E$501))</f>
        <v/>
      </c>
      <c r="U246" s="24"/>
    </row>
    <row r="247" customFormat="false" ht="15" hidden="false" customHeight="false" outlineLevel="0" collapsed="false">
      <c r="A247" s="22"/>
      <c r="B247" s="21"/>
      <c r="C247" s="22"/>
      <c r="D247" s="22"/>
      <c r="E247" s="16"/>
      <c r="F247" s="16"/>
      <c r="G247" s="16"/>
      <c r="H247" s="16"/>
      <c r="I247" s="16"/>
      <c r="J247" s="17" t="str">
        <f aca="false">IF(AND(A247="",B247=""),"",IF(SUM(E247:H247)&gt;0,SUM(E247:H247),I247))</f>
        <v/>
      </c>
      <c r="K247" s="17" t="str">
        <f aca="false">IF(J247="","",ROUND(IF(SUM(E247:H247)&gt;0,E247*(1+Config!$C$4)+F247*(1+Config!$C$5)+G247*(1+Config!$C$6)+H247*(1+Config!$C$7),I247*(1+Config!$C$8)),2))</f>
        <v/>
      </c>
      <c r="L247" s="18"/>
      <c r="M247" s="19" t="str">
        <f aca="false">IF(J247="","",IF(L247="",Config!$C$3,L247))</f>
        <v/>
      </c>
      <c r="N247" s="20" t="str">
        <f aca="false">IF(K247="","",ROUND(K247*(1+M247),2))</f>
        <v/>
      </c>
      <c r="O247" s="21"/>
      <c r="P247" s="21"/>
      <c r="Q247" s="22"/>
      <c r="R247" s="22"/>
      <c r="S247" s="23" t="str">
        <f aca="false">IF(A247="","",COUNTIF(Registo!$B$2:$B$501,A247))</f>
        <v/>
      </c>
      <c r="T247" s="17" t="str">
        <f aca="false">IF(OR(A247="",S247=0),"",LOOKUP(2,1/(Registo!$B$2:$B$501=A247),Registo!$E$2:$E$501))</f>
        <v/>
      </c>
      <c r="U247" s="24"/>
    </row>
    <row r="248" customFormat="false" ht="15" hidden="false" customHeight="false" outlineLevel="0" collapsed="false">
      <c r="A248" s="22"/>
      <c r="B248" s="21"/>
      <c r="C248" s="22"/>
      <c r="D248" s="22"/>
      <c r="E248" s="16"/>
      <c r="F248" s="16"/>
      <c r="G248" s="16"/>
      <c r="H248" s="16"/>
      <c r="I248" s="16"/>
      <c r="J248" s="17" t="str">
        <f aca="false">IF(AND(A248="",B248=""),"",IF(SUM(E248:H248)&gt;0,SUM(E248:H248),I248))</f>
        <v/>
      </c>
      <c r="K248" s="17" t="str">
        <f aca="false">IF(J248="","",ROUND(IF(SUM(E248:H248)&gt;0,E248*(1+Config!$C$4)+F248*(1+Config!$C$5)+G248*(1+Config!$C$6)+H248*(1+Config!$C$7),I248*(1+Config!$C$8)),2))</f>
        <v/>
      </c>
      <c r="L248" s="18"/>
      <c r="M248" s="19" t="str">
        <f aca="false">IF(J248="","",IF(L248="",Config!$C$3,L248))</f>
        <v/>
      </c>
      <c r="N248" s="20" t="str">
        <f aca="false">IF(K248="","",ROUND(K248*(1+M248),2))</f>
        <v/>
      </c>
      <c r="O248" s="21"/>
      <c r="P248" s="21"/>
      <c r="Q248" s="22"/>
      <c r="R248" s="22"/>
      <c r="S248" s="23" t="str">
        <f aca="false">IF(A248="","",COUNTIF(Registo!$B$2:$B$501,A248))</f>
        <v/>
      </c>
      <c r="T248" s="17" t="str">
        <f aca="false">IF(OR(A248="",S248=0),"",LOOKUP(2,1/(Registo!$B$2:$B$501=A248),Registo!$E$2:$E$501))</f>
        <v/>
      </c>
      <c r="U248" s="24"/>
    </row>
    <row r="249" customFormat="false" ht="15" hidden="false" customHeight="false" outlineLevel="0" collapsed="false">
      <c r="A249" s="22"/>
      <c r="B249" s="21"/>
      <c r="C249" s="22"/>
      <c r="D249" s="22"/>
      <c r="E249" s="16"/>
      <c r="F249" s="16"/>
      <c r="G249" s="16"/>
      <c r="H249" s="16"/>
      <c r="I249" s="16"/>
      <c r="J249" s="17" t="str">
        <f aca="false">IF(AND(A249="",B249=""),"",IF(SUM(E249:H249)&gt;0,SUM(E249:H249),I249))</f>
        <v/>
      </c>
      <c r="K249" s="17" t="str">
        <f aca="false">IF(J249="","",ROUND(IF(SUM(E249:H249)&gt;0,E249*(1+Config!$C$4)+F249*(1+Config!$C$5)+G249*(1+Config!$C$6)+H249*(1+Config!$C$7),I249*(1+Config!$C$8)),2))</f>
        <v/>
      </c>
      <c r="L249" s="18"/>
      <c r="M249" s="19" t="str">
        <f aca="false">IF(J249="","",IF(L249="",Config!$C$3,L249))</f>
        <v/>
      </c>
      <c r="N249" s="20" t="str">
        <f aca="false">IF(K249="","",ROUND(K249*(1+M249),2))</f>
        <v/>
      </c>
      <c r="O249" s="21"/>
      <c r="P249" s="21"/>
      <c r="Q249" s="22"/>
      <c r="R249" s="22"/>
      <c r="S249" s="23" t="str">
        <f aca="false">IF(A249="","",COUNTIF(Registo!$B$2:$B$501,A249))</f>
        <v/>
      </c>
      <c r="T249" s="17" t="str">
        <f aca="false">IF(OR(A249="",S249=0),"",LOOKUP(2,1/(Registo!$B$2:$B$501=A249),Registo!$E$2:$E$501))</f>
        <v/>
      </c>
      <c r="U249" s="24"/>
    </row>
    <row r="250" customFormat="false" ht="15" hidden="false" customHeight="false" outlineLevel="0" collapsed="false">
      <c r="A250" s="22"/>
      <c r="B250" s="21"/>
      <c r="C250" s="22"/>
      <c r="D250" s="22"/>
      <c r="E250" s="16"/>
      <c r="F250" s="16"/>
      <c r="G250" s="16"/>
      <c r="H250" s="16"/>
      <c r="I250" s="16"/>
      <c r="J250" s="17" t="str">
        <f aca="false">IF(AND(A250="",B250=""),"",IF(SUM(E250:H250)&gt;0,SUM(E250:H250),I250))</f>
        <v/>
      </c>
      <c r="K250" s="17" t="str">
        <f aca="false">IF(J250="","",ROUND(IF(SUM(E250:H250)&gt;0,E250*(1+Config!$C$4)+F250*(1+Config!$C$5)+G250*(1+Config!$C$6)+H250*(1+Config!$C$7),I250*(1+Config!$C$8)),2))</f>
        <v/>
      </c>
      <c r="L250" s="18"/>
      <c r="M250" s="19" t="str">
        <f aca="false">IF(J250="","",IF(L250="",Config!$C$3,L250))</f>
        <v/>
      </c>
      <c r="N250" s="20" t="str">
        <f aca="false">IF(K250="","",ROUND(K250*(1+M250),2))</f>
        <v/>
      </c>
      <c r="O250" s="21"/>
      <c r="P250" s="21"/>
      <c r="Q250" s="22"/>
      <c r="R250" s="22"/>
      <c r="S250" s="23" t="str">
        <f aca="false">IF(A250="","",COUNTIF(Registo!$B$2:$B$501,A250))</f>
        <v/>
      </c>
      <c r="T250" s="17" t="str">
        <f aca="false">IF(OR(A250="",S250=0),"",LOOKUP(2,1/(Registo!$B$2:$B$501=A250),Registo!$E$2:$E$501))</f>
        <v/>
      </c>
      <c r="U250" s="24"/>
    </row>
    <row r="251" customFormat="false" ht="15" hidden="false" customHeight="false" outlineLevel="0" collapsed="false">
      <c r="A251" s="22"/>
      <c r="B251" s="21"/>
      <c r="C251" s="22"/>
      <c r="D251" s="22"/>
      <c r="E251" s="16"/>
      <c r="F251" s="16"/>
      <c r="G251" s="16"/>
      <c r="H251" s="16"/>
      <c r="I251" s="16"/>
      <c r="J251" s="17" t="str">
        <f aca="false">IF(AND(A251="",B251=""),"",IF(SUM(E251:H251)&gt;0,SUM(E251:H251),I251))</f>
        <v/>
      </c>
      <c r="K251" s="17" t="str">
        <f aca="false">IF(J251="","",ROUND(IF(SUM(E251:H251)&gt;0,E251*(1+Config!$C$4)+F251*(1+Config!$C$5)+G251*(1+Config!$C$6)+H251*(1+Config!$C$7),I251*(1+Config!$C$8)),2))</f>
        <v/>
      </c>
      <c r="L251" s="18"/>
      <c r="M251" s="19" t="str">
        <f aca="false">IF(J251="","",IF(L251="",Config!$C$3,L251))</f>
        <v/>
      </c>
      <c r="N251" s="20" t="str">
        <f aca="false">IF(K251="","",ROUND(K251*(1+M251),2))</f>
        <v/>
      </c>
      <c r="O251" s="21"/>
      <c r="P251" s="21"/>
      <c r="Q251" s="22"/>
      <c r="R251" s="22"/>
      <c r="S251" s="23" t="str">
        <f aca="false">IF(A251="","",COUNTIF(Registo!$B$2:$B$501,A251))</f>
        <v/>
      </c>
      <c r="T251" s="17" t="str">
        <f aca="false">IF(OR(A251="",S251=0),"",LOOKUP(2,1/(Registo!$B$2:$B$501=A251),Registo!$E$2:$E$501))</f>
        <v/>
      </c>
      <c r="U251" s="24"/>
    </row>
  </sheetData>
  <autoFilter ref="A4:U251"/>
  <conditionalFormatting sqref="R5:R251">
    <cfRule type="cellIs" priority="2" operator="equal" aboveAverage="0" equalAverage="0" bottom="0" percent="0" rank="0" text="" dxfId="7">
      <formula>"A"</formula>
    </cfRule>
    <cfRule type="cellIs" priority="3" operator="equal" aboveAverage="0" equalAverage="0" bottom="0" percent="0" rank="0" text="" dxfId="8">
      <formula>"B"</formula>
    </cfRule>
    <cfRule type="cellIs" priority="4" operator="equal" aboveAverage="0" equalAverage="0" bottom="0" percent="0" rank="0" text="" dxfId="9">
      <formula>"C"</formula>
    </cfRule>
  </conditionalFormatting>
  <dataValidations count="2">
    <dataValidation allowBlank="true" errorStyle="stop" operator="between" showDropDown="false" showErrorMessage="false" showInputMessage="false" sqref="R5:R251" type="list">
      <formula1>"A,B,C"</formula1>
      <formula2>0</formula2>
    </dataValidation>
    <dataValidation allowBlank="true" errorStyle="stop" operator="between" showDropDown="false" showErrorMessage="false" showInputMessage="false" sqref="C5:C251" type="list">
      <formula1>Config!$B$14:$B$27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B1" s="12" t="s">
        <v>377</v>
      </c>
    </row>
    <row r="3" customFormat="false" ht="15" hidden="false" customHeight="false" outlineLevel="0" collapsed="false">
      <c r="B3" s="25" t="s">
        <v>378</v>
      </c>
      <c r="C3" s="26" t="n">
        <v>0.2</v>
      </c>
      <c r="D3" s="27" t="s">
        <v>379</v>
      </c>
    </row>
    <row r="4" customFormat="false" ht="15" hidden="false" customHeight="false" outlineLevel="0" collapsed="false">
      <c r="B4" s="25" t="s">
        <v>380</v>
      </c>
      <c r="C4" s="26" t="n">
        <v>0.01</v>
      </c>
      <c r="D4" s="27" t="s">
        <v>381</v>
      </c>
    </row>
    <row r="5" customFormat="false" ht="15" hidden="false" customHeight="false" outlineLevel="0" collapsed="false">
      <c r="B5" s="25" t="s">
        <v>382</v>
      </c>
      <c r="C5" s="26" t="n">
        <v>0.03</v>
      </c>
      <c r="D5" s="27" t="s">
        <v>383</v>
      </c>
    </row>
    <row r="6" customFormat="false" ht="15" hidden="false" customHeight="false" outlineLevel="0" collapsed="false">
      <c r="B6" s="25" t="s">
        <v>384</v>
      </c>
      <c r="C6" s="26" t="n">
        <v>0.02</v>
      </c>
      <c r="D6" s="27" t="s">
        <v>385</v>
      </c>
    </row>
    <row r="7" customFormat="false" ht="15" hidden="false" customHeight="false" outlineLevel="0" collapsed="false">
      <c r="B7" s="25" t="s">
        <v>386</v>
      </c>
      <c r="C7" s="26" t="n">
        <v>0.02</v>
      </c>
      <c r="D7" s="27" t="s">
        <v>387</v>
      </c>
    </row>
    <row r="8" customFormat="false" ht="15" hidden="false" customHeight="false" outlineLevel="0" collapsed="false">
      <c r="B8" s="25" t="s">
        <v>388</v>
      </c>
      <c r="C8" s="26" t="n">
        <v>0.02</v>
      </c>
      <c r="D8" s="27" t="s">
        <v>389</v>
      </c>
    </row>
    <row r="9" customFormat="false" ht="15" hidden="false" customHeight="false" outlineLevel="0" collapsed="false">
      <c r="B9" s="25" t="s">
        <v>390</v>
      </c>
      <c r="C9" s="26" t="n">
        <v>0.23</v>
      </c>
      <c r="D9" s="27" t="s">
        <v>391</v>
      </c>
    </row>
    <row r="10" customFormat="false" ht="15" hidden="false" customHeight="false" outlineLevel="0" collapsed="false">
      <c r="B10" s="25" t="s">
        <v>392</v>
      </c>
      <c r="C10" s="26" t="n">
        <v>0.06</v>
      </c>
      <c r="D10" s="27" t="s">
        <v>393</v>
      </c>
    </row>
    <row r="13" customFormat="false" ht="15" hidden="false" customHeight="false" outlineLevel="0" collapsed="false">
      <c r="B13" s="3" t="s">
        <v>394</v>
      </c>
    </row>
    <row r="14" customFormat="false" ht="15" hidden="false" customHeight="false" outlineLevel="0" collapsed="false">
      <c r="B14" s="25" t="s">
        <v>58</v>
      </c>
      <c r="C14" s="28" t="s">
        <v>395</v>
      </c>
    </row>
    <row r="15" customFormat="false" ht="15" hidden="false" customHeight="false" outlineLevel="0" collapsed="false">
      <c r="B15" s="25" t="s">
        <v>68</v>
      </c>
      <c r="C15" s="28" t="s">
        <v>396</v>
      </c>
    </row>
    <row r="16" customFormat="false" ht="15" hidden="false" customHeight="false" outlineLevel="0" collapsed="false">
      <c r="B16" s="25" t="s">
        <v>158</v>
      </c>
      <c r="C16" s="28" t="s">
        <v>397</v>
      </c>
    </row>
    <row r="17" customFormat="false" ht="15" hidden="false" customHeight="false" outlineLevel="0" collapsed="false">
      <c r="B17" s="25" t="s">
        <v>197</v>
      </c>
      <c r="C17" s="28" t="s">
        <v>398</v>
      </c>
    </row>
    <row r="18" customFormat="false" ht="15" hidden="false" customHeight="false" outlineLevel="0" collapsed="false">
      <c r="B18" s="25" t="s">
        <v>399</v>
      </c>
      <c r="C18" s="28" t="s">
        <v>400</v>
      </c>
    </row>
    <row r="19" customFormat="false" ht="15" hidden="false" customHeight="false" outlineLevel="0" collapsed="false">
      <c r="B19" s="25" t="s">
        <v>240</v>
      </c>
      <c r="C19" s="28" t="s">
        <v>401</v>
      </c>
    </row>
    <row r="20" customFormat="false" ht="15" hidden="false" customHeight="false" outlineLevel="0" collapsed="false">
      <c r="B20" s="25" t="s">
        <v>252</v>
      </c>
      <c r="C20" s="28" t="s">
        <v>402</v>
      </c>
    </row>
    <row r="21" customFormat="false" ht="15" hidden="false" customHeight="false" outlineLevel="0" collapsed="false">
      <c r="B21" s="25" t="s">
        <v>293</v>
      </c>
      <c r="C21" s="28" t="s">
        <v>293</v>
      </c>
    </row>
    <row r="22" customFormat="false" ht="15" hidden="false" customHeight="false" outlineLevel="0" collapsed="false">
      <c r="B22" s="25" t="s">
        <v>306</v>
      </c>
      <c r="C22" s="28" t="s">
        <v>403</v>
      </c>
    </row>
    <row r="23" customFormat="false" ht="15" hidden="false" customHeight="false" outlineLevel="0" collapsed="false">
      <c r="B23" s="25" t="s">
        <v>326</v>
      </c>
      <c r="C23" s="28" t="s">
        <v>404</v>
      </c>
    </row>
    <row r="24" customFormat="false" ht="15" hidden="false" customHeight="false" outlineLevel="0" collapsed="false">
      <c r="B24" s="25" t="s">
        <v>339</v>
      </c>
      <c r="C24" s="28" t="s">
        <v>339</v>
      </c>
    </row>
    <row r="25" customFormat="false" ht="15" hidden="false" customHeight="false" outlineLevel="0" collapsed="false">
      <c r="B25" s="25" t="s">
        <v>352</v>
      </c>
      <c r="C25" s="28" t="s">
        <v>405</v>
      </c>
    </row>
    <row r="26" customFormat="false" ht="15" hidden="false" customHeight="false" outlineLevel="0" collapsed="false">
      <c r="B26" s="25" t="s">
        <v>359</v>
      </c>
      <c r="C26" s="28" t="s">
        <v>406</v>
      </c>
    </row>
    <row r="27" customFormat="false" ht="15" hidden="false" customHeight="false" outlineLevel="0" collapsed="false">
      <c r="B27" s="25" t="s">
        <v>364</v>
      </c>
      <c r="C27" s="28" t="s">
        <v>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45"/>
  </cols>
  <sheetData>
    <row r="1" customFormat="false" ht="23.85" hidden="false" customHeight="false" outlineLevel="0" collapsed="false">
      <c r="A1" s="13" t="s">
        <v>51</v>
      </c>
      <c r="B1" s="13" t="s">
        <v>35</v>
      </c>
      <c r="C1" s="13" t="s">
        <v>408</v>
      </c>
      <c r="D1" s="13" t="s">
        <v>409</v>
      </c>
      <c r="E1" s="13" t="s">
        <v>410</v>
      </c>
      <c r="F1" s="13" t="s">
        <v>52</v>
      </c>
      <c r="G1" s="13" t="s">
        <v>55</v>
      </c>
    </row>
    <row r="2" customFormat="false" ht="15" hidden="false" customHeight="false" outlineLevel="0" collapsed="false">
      <c r="A2" s="29"/>
      <c r="B2" s="30"/>
      <c r="C2" s="30"/>
      <c r="D2" s="30"/>
      <c r="E2" s="16"/>
      <c r="F2" s="30"/>
      <c r="G2" s="30"/>
    </row>
    <row r="3" customFormat="false" ht="15" hidden="false" customHeight="false" outlineLevel="0" collapsed="false">
      <c r="A3" s="29"/>
      <c r="B3" s="30"/>
      <c r="C3" s="30"/>
      <c r="D3" s="30"/>
      <c r="E3" s="16"/>
      <c r="F3" s="30"/>
      <c r="G3" s="30"/>
    </row>
    <row r="4" customFormat="false" ht="15" hidden="false" customHeight="false" outlineLevel="0" collapsed="false">
      <c r="A4" s="29"/>
      <c r="B4" s="30"/>
      <c r="C4" s="30"/>
      <c r="D4" s="30"/>
      <c r="E4" s="16"/>
      <c r="F4" s="30"/>
      <c r="G4" s="30"/>
    </row>
    <row r="5" customFormat="false" ht="15" hidden="false" customHeight="false" outlineLevel="0" collapsed="false">
      <c r="A5" s="29"/>
      <c r="B5" s="30"/>
      <c r="C5" s="30"/>
      <c r="D5" s="30"/>
      <c r="E5" s="16"/>
      <c r="F5" s="30"/>
      <c r="G5" s="30"/>
    </row>
    <row r="6" customFormat="false" ht="15" hidden="false" customHeight="false" outlineLevel="0" collapsed="false">
      <c r="A6" s="29"/>
      <c r="B6" s="30"/>
      <c r="C6" s="30"/>
      <c r="D6" s="30"/>
      <c r="E6" s="16"/>
      <c r="F6" s="30"/>
      <c r="G6" s="30"/>
    </row>
    <row r="7" customFormat="false" ht="15" hidden="false" customHeight="false" outlineLevel="0" collapsed="false">
      <c r="A7" s="29"/>
      <c r="B7" s="30"/>
      <c r="C7" s="30"/>
      <c r="D7" s="30"/>
      <c r="E7" s="16"/>
      <c r="F7" s="30"/>
      <c r="G7" s="30"/>
    </row>
    <row r="8" customFormat="false" ht="15" hidden="false" customHeight="false" outlineLevel="0" collapsed="false">
      <c r="A8" s="29"/>
      <c r="B8" s="30"/>
      <c r="C8" s="30"/>
      <c r="D8" s="30"/>
      <c r="E8" s="16"/>
      <c r="F8" s="30"/>
      <c r="G8" s="30"/>
    </row>
    <row r="9" customFormat="false" ht="15" hidden="false" customHeight="false" outlineLevel="0" collapsed="false">
      <c r="A9" s="29"/>
      <c r="B9" s="30"/>
      <c r="C9" s="30"/>
      <c r="D9" s="30"/>
      <c r="E9" s="16"/>
      <c r="F9" s="30"/>
      <c r="G9" s="30"/>
    </row>
    <row r="10" customFormat="false" ht="15" hidden="false" customHeight="false" outlineLevel="0" collapsed="false">
      <c r="A10" s="29"/>
      <c r="B10" s="30"/>
      <c r="C10" s="30"/>
      <c r="D10" s="30"/>
      <c r="E10" s="16"/>
      <c r="F10" s="30"/>
      <c r="G10" s="30"/>
    </row>
    <row r="11" customFormat="false" ht="15" hidden="false" customHeight="false" outlineLevel="0" collapsed="false">
      <c r="A11" s="29"/>
      <c r="B11" s="30"/>
      <c r="C11" s="30"/>
      <c r="D11" s="30"/>
      <c r="E11" s="16"/>
      <c r="F11" s="30"/>
      <c r="G11" s="30"/>
    </row>
    <row r="12" customFormat="false" ht="15" hidden="false" customHeight="false" outlineLevel="0" collapsed="false">
      <c r="A12" s="29"/>
      <c r="B12" s="30"/>
      <c r="C12" s="30"/>
      <c r="D12" s="30"/>
      <c r="E12" s="16"/>
      <c r="F12" s="30"/>
      <c r="G12" s="30"/>
    </row>
    <row r="13" customFormat="false" ht="15" hidden="false" customHeight="false" outlineLevel="0" collapsed="false">
      <c r="A13" s="29"/>
      <c r="B13" s="30"/>
      <c r="C13" s="30"/>
      <c r="D13" s="30"/>
      <c r="E13" s="16"/>
      <c r="F13" s="30"/>
      <c r="G13" s="30"/>
    </row>
    <row r="14" customFormat="false" ht="15" hidden="false" customHeight="false" outlineLevel="0" collapsed="false">
      <c r="A14" s="29"/>
      <c r="B14" s="30"/>
      <c r="C14" s="30"/>
      <c r="D14" s="30"/>
      <c r="E14" s="16"/>
      <c r="F14" s="30"/>
      <c r="G14" s="30"/>
    </row>
    <row r="15" customFormat="false" ht="15" hidden="false" customHeight="false" outlineLevel="0" collapsed="false">
      <c r="A15" s="29"/>
      <c r="B15" s="30"/>
      <c r="C15" s="30"/>
      <c r="D15" s="30"/>
      <c r="E15" s="16"/>
      <c r="F15" s="30"/>
      <c r="G15" s="30"/>
    </row>
    <row r="16" customFormat="false" ht="15" hidden="false" customHeight="false" outlineLevel="0" collapsed="false">
      <c r="A16" s="29"/>
      <c r="B16" s="30"/>
      <c r="C16" s="30"/>
      <c r="D16" s="30"/>
      <c r="E16" s="16"/>
      <c r="F16" s="30"/>
      <c r="G16" s="30"/>
    </row>
    <row r="17" customFormat="false" ht="15" hidden="false" customHeight="false" outlineLevel="0" collapsed="false">
      <c r="A17" s="29"/>
      <c r="B17" s="30"/>
      <c r="C17" s="30"/>
      <c r="D17" s="30"/>
      <c r="E17" s="16"/>
      <c r="F17" s="30"/>
      <c r="G17" s="30"/>
    </row>
    <row r="18" customFormat="false" ht="15" hidden="false" customHeight="false" outlineLevel="0" collapsed="false">
      <c r="A18" s="29"/>
      <c r="B18" s="30"/>
      <c r="C18" s="30"/>
      <c r="D18" s="30"/>
      <c r="E18" s="16"/>
      <c r="F18" s="30"/>
      <c r="G18" s="30"/>
    </row>
    <row r="19" customFormat="false" ht="15" hidden="false" customHeight="false" outlineLevel="0" collapsed="false">
      <c r="A19" s="29"/>
      <c r="B19" s="30"/>
      <c r="C19" s="30"/>
      <c r="D19" s="30"/>
      <c r="E19" s="16"/>
      <c r="F19" s="30"/>
      <c r="G19" s="30"/>
    </row>
    <row r="20" customFormat="false" ht="15" hidden="false" customHeight="false" outlineLevel="0" collapsed="false">
      <c r="A20" s="29"/>
      <c r="B20" s="30"/>
      <c r="C20" s="30"/>
      <c r="D20" s="30"/>
      <c r="E20" s="16"/>
      <c r="F20" s="30"/>
      <c r="G20" s="30"/>
    </row>
    <row r="21" customFormat="false" ht="15" hidden="false" customHeight="false" outlineLevel="0" collapsed="false">
      <c r="A21" s="29"/>
      <c r="B21" s="30"/>
      <c r="C21" s="30"/>
      <c r="D21" s="30"/>
      <c r="E21" s="16"/>
      <c r="F21" s="30"/>
      <c r="G21" s="30"/>
    </row>
    <row r="22" customFormat="false" ht="15" hidden="false" customHeight="false" outlineLevel="0" collapsed="false">
      <c r="A22" s="29"/>
      <c r="B22" s="30"/>
      <c r="C22" s="30"/>
      <c r="D22" s="30"/>
      <c r="E22" s="16"/>
      <c r="F22" s="30"/>
      <c r="G22" s="30"/>
    </row>
    <row r="23" customFormat="false" ht="15" hidden="false" customHeight="false" outlineLevel="0" collapsed="false">
      <c r="A23" s="29"/>
      <c r="B23" s="30"/>
      <c r="C23" s="30"/>
      <c r="D23" s="30"/>
      <c r="E23" s="16"/>
      <c r="F23" s="30"/>
      <c r="G23" s="30"/>
    </row>
    <row r="24" customFormat="false" ht="15" hidden="false" customHeight="false" outlineLevel="0" collapsed="false">
      <c r="A24" s="29"/>
      <c r="B24" s="30"/>
      <c r="C24" s="30"/>
      <c r="D24" s="30"/>
      <c r="E24" s="16"/>
      <c r="F24" s="30"/>
      <c r="G24" s="30"/>
    </row>
    <row r="25" customFormat="false" ht="15" hidden="false" customHeight="false" outlineLevel="0" collapsed="false">
      <c r="A25" s="29"/>
      <c r="B25" s="30"/>
      <c r="C25" s="30"/>
      <c r="D25" s="30"/>
      <c r="E25" s="16"/>
      <c r="F25" s="30"/>
      <c r="G25" s="30"/>
    </row>
    <row r="26" customFormat="false" ht="15" hidden="false" customHeight="false" outlineLevel="0" collapsed="false">
      <c r="A26" s="29"/>
      <c r="B26" s="30"/>
      <c r="C26" s="30"/>
      <c r="D26" s="30"/>
      <c r="E26" s="16"/>
      <c r="F26" s="30"/>
      <c r="G26" s="30"/>
    </row>
    <row r="27" customFormat="false" ht="15" hidden="false" customHeight="false" outlineLevel="0" collapsed="false">
      <c r="A27" s="29"/>
      <c r="B27" s="30"/>
      <c r="C27" s="30"/>
      <c r="D27" s="30"/>
      <c r="E27" s="16"/>
      <c r="F27" s="30"/>
      <c r="G27" s="30"/>
    </row>
    <row r="28" customFormat="false" ht="15" hidden="false" customHeight="false" outlineLevel="0" collapsed="false">
      <c r="A28" s="29"/>
      <c r="B28" s="30"/>
      <c r="C28" s="30"/>
      <c r="D28" s="30"/>
      <c r="E28" s="16"/>
      <c r="F28" s="30"/>
      <c r="G28" s="30"/>
    </row>
    <row r="29" customFormat="false" ht="15" hidden="false" customHeight="false" outlineLevel="0" collapsed="false">
      <c r="A29" s="29"/>
      <c r="B29" s="30"/>
      <c r="C29" s="30"/>
      <c r="D29" s="30"/>
      <c r="E29" s="16"/>
      <c r="F29" s="30"/>
      <c r="G29" s="30"/>
    </row>
    <row r="30" customFormat="false" ht="15" hidden="false" customHeight="false" outlineLevel="0" collapsed="false">
      <c r="A30" s="29"/>
      <c r="B30" s="30"/>
      <c r="C30" s="30"/>
      <c r="D30" s="30"/>
      <c r="E30" s="16"/>
      <c r="F30" s="30"/>
      <c r="G30" s="30"/>
    </row>
    <row r="31" customFormat="false" ht="15" hidden="false" customHeight="false" outlineLevel="0" collapsed="false">
      <c r="A31" s="29"/>
      <c r="B31" s="30"/>
      <c r="C31" s="30"/>
      <c r="D31" s="30"/>
      <c r="E31" s="16"/>
      <c r="F31" s="30"/>
      <c r="G31" s="30"/>
    </row>
    <row r="32" customFormat="false" ht="15" hidden="false" customHeight="false" outlineLevel="0" collapsed="false">
      <c r="A32" s="29"/>
      <c r="B32" s="30"/>
      <c r="C32" s="30"/>
      <c r="D32" s="30"/>
      <c r="E32" s="16"/>
      <c r="F32" s="30"/>
      <c r="G32" s="30"/>
    </row>
    <row r="33" customFormat="false" ht="15" hidden="false" customHeight="false" outlineLevel="0" collapsed="false">
      <c r="A33" s="29"/>
      <c r="B33" s="30"/>
      <c r="C33" s="30"/>
      <c r="D33" s="30"/>
      <c r="E33" s="16"/>
      <c r="F33" s="30"/>
      <c r="G33" s="30"/>
    </row>
    <row r="34" customFormat="false" ht="15" hidden="false" customHeight="false" outlineLevel="0" collapsed="false">
      <c r="A34" s="29"/>
      <c r="B34" s="30"/>
      <c r="C34" s="30"/>
      <c r="D34" s="30"/>
      <c r="E34" s="16"/>
      <c r="F34" s="30"/>
      <c r="G34" s="30"/>
    </row>
    <row r="35" customFormat="false" ht="15" hidden="false" customHeight="false" outlineLevel="0" collapsed="false">
      <c r="A35" s="29"/>
      <c r="B35" s="30"/>
      <c r="C35" s="30"/>
      <c r="D35" s="30"/>
      <c r="E35" s="16"/>
      <c r="F35" s="30"/>
      <c r="G35" s="30"/>
    </row>
    <row r="36" customFormat="false" ht="15" hidden="false" customHeight="false" outlineLevel="0" collapsed="false">
      <c r="A36" s="29"/>
      <c r="B36" s="30"/>
      <c r="C36" s="30"/>
      <c r="D36" s="30"/>
      <c r="E36" s="16"/>
      <c r="F36" s="30"/>
      <c r="G36" s="30"/>
    </row>
    <row r="37" customFormat="false" ht="15" hidden="false" customHeight="false" outlineLevel="0" collapsed="false">
      <c r="A37" s="29"/>
      <c r="B37" s="30"/>
      <c r="C37" s="30"/>
      <c r="D37" s="30"/>
      <c r="E37" s="16"/>
      <c r="F37" s="30"/>
      <c r="G37" s="30"/>
    </row>
    <row r="38" customFormat="false" ht="15" hidden="false" customHeight="false" outlineLevel="0" collapsed="false">
      <c r="A38" s="29"/>
      <c r="B38" s="30"/>
      <c r="C38" s="30"/>
      <c r="D38" s="30"/>
      <c r="E38" s="16"/>
      <c r="F38" s="30"/>
      <c r="G38" s="30"/>
    </row>
    <row r="39" customFormat="false" ht="15" hidden="false" customHeight="false" outlineLevel="0" collapsed="false">
      <c r="A39" s="29"/>
      <c r="B39" s="30"/>
      <c r="C39" s="30"/>
      <c r="D39" s="30"/>
      <c r="E39" s="16"/>
      <c r="F39" s="30"/>
      <c r="G39" s="30"/>
    </row>
    <row r="40" customFormat="false" ht="15" hidden="false" customHeight="false" outlineLevel="0" collapsed="false">
      <c r="A40" s="29"/>
      <c r="B40" s="30"/>
      <c r="C40" s="30"/>
      <c r="D40" s="30"/>
      <c r="E40" s="16"/>
      <c r="F40" s="30"/>
      <c r="G40" s="30"/>
    </row>
    <row r="41" customFormat="false" ht="15" hidden="false" customHeight="false" outlineLevel="0" collapsed="false">
      <c r="A41" s="29"/>
      <c r="B41" s="30"/>
      <c r="C41" s="30"/>
      <c r="D41" s="30"/>
      <c r="E41" s="16"/>
      <c r="F41" s="30"/>
      <c r="G41" s="30"/>
    </row>
    <row r="42" customFormat="false" ht="15" hidden="false" customHeight="false" outlineLevel="0" collapsed="false">
      <c r="A42" s="29"/>
      <c r="B42" s="30"/>
      <c r="C42" s="30"/>
      <c r="D42" s="30"/>
      <c r="E42" s="16"/>
      <c r="F42" s="30"/>
      <c r="G42" s="30"/>
    </row>
    <row r="43" customFormat="false" ht="15" hidden="false" customHeight="false" outlineLevel="0" collapsed="false">
      <c r="A43" s="29"/>
      <c r="B43" s="30"/>
      <c r="C43" s="30"/>
      <c r="D43" s="30"/>
      <c r="E43" s="16"/>
      <c r="F43" s="30"/>
      <c r="G43" s="30"/>
    </row>
    <row r="44" customFormat="false" ht="15" hidden="false" customHeight="false" outlineLevel="0" collapsed="false">
      <c r="A44" s="29"/>
      <c r="B44" s="30"/>
      <c r="C44" s="30"/>
      <c r="D44" s="30"/>
      <c r="E44" s="16"/>
      <c r="F44" s="30"/>
      <c r="G44" s="30"/>
    </row>
    <row r="45" customFormat="false" ht="15" hidden="false" customHeight="false" outlineLevel="0" collapsed="false">
      <c r="A45" s="29"/>
      <c r="B45" s="30"/>
      <c r="C45" s="30"/>
      <c r="D45" s="30"/>
      <c r="E45" s="16"/>
      <c r="F45" s="30"/>
      <c r="G45" s="30"/>
    </row>
    <row r="46" customFormat="false" ht="15" hidden="false" customHeight="false" outlineLevel="0" collapsed="false">
      <c r="A46" s="29"/>
      <c r="B46" s="30"/>
      <c r="C46" s="30"/>
      <c r="D46" s="30"/>
      <c r="E46" s="16"/>
      <c r="F46" s="30"/>
      <c r="G46" s="30"/>
    </row>
    <row r="47" customFormat="false" ht="15" hidden="false" customHeight="false" outlineLevel="0" collapsed="false">
      <c r="A47" s="29"/>
      <c r="B47" s="30"/>
      <c r="C47" s="30"/>
      <c r="D47" s="30"/>
      <c r="E47" s="16"/>
      <c r="F47" s="30"/>
      <c r="G47" s="30"/>
    </row>
    <row r="48" customFormat="false" ht="15" hidden="false" customHeight="false" outlineLevel="0" collapsed="false">
      <c r="A48" s="29"/>
      <c r="B48" s="30"/>
      <c r="C48" s="30"/>
      <c r="D48" s="30"/>
      <c r="E48" s="16"/>
      <c r="F48" s="30"/>
      <c r="G48" s="30"/>
    </row>
    <row r="49" customFormat="false" ht="15" hidden="false" customHeight="false" outlineLevel="0" collapsed="false">
      <c r="A49" s="29"/>
      <c r="B49" s="30"/>
      <c r="C49" s="30"/>
      <c r="D49" s="30"/>
      <c r="E49" s="16"/>
      <c r="F49" s="30"/>
      <c r="G49" s="30"/>
    </row>
    <row r="50" customFormat="false" ht="15" hidden="false" customHeight="false" outlineLevel="0" collapsed="false">
      <c r="A50" s="29"/>
      <c r="B50" s="30"/>
      <c r="C50" s="30"/>
      <c r="D50" s="30"/>
      <c r="E50" s="16"/>
      <c r="F50" s="30"/>
      <c r="G50" s="30"/>
    </row>
    <row r="51" customFormat="false" ht="15" hidden="false" customHeight="false" outlineLevel="0" collapsed="false">
      <c r="A51" s="29"/>
      <c r="B51" s="30"/>
      <c r="C51" s="30"/>
      <c r="D51" s="30"/>
      <c r="E51" s="16"/>
      <c r="F51" s="30"/>
      <c r="G51" s="30"/>
    </row>
    <row r="52" customFormat="false" ht="15" hidden="false" customHeight="false" outlineLevel="0" collapsed="false">
      <c r="A52" s="29"/>
      <c r="B52" s="30"/>
      <c r="C52" s="30"/>
      <c r="D52" s="30"/>
      <c r="E52" s="16"/>
      <c r="F52" s="30"/>
      <c r="G52" s="30"/>
    </row>
    <row r="53" customFormat="false" ht="15" hidden="false" customHeight="false" outlineLevel="0" collapsed="false">
      <c r="A53" s="29"/>
      <c r="B53" s="30"/>
      <c r="C53" s="30"/>
      <c r="D53" s="30"/>
      <c r="E53" s="16"/>
      <c r="F53" s="30"/>
      <c r="G53" s="30"/>
    </row>
    <row r="54" customFormat="false" ht="15" hidden="false" customHeight="false" outlineLevel="0" collapsed="false">
      <c r="A54" s="29"/>
      <c r="B54" s="30"/>
      <c r="C54" s="30"/>
      <c r="D54" s="30"/>
      <c r="E54" s="16"/>
      <c r="F54" s="30"/>
      <c r="G54" s="30"/>
    </row>
    <row r="55" customFormat="false" ht="15" hidden="false" customHeight="false" outlineLevel="0" collapsed="false">
      <c r="A55" s="29"/>
      <c r="B55" s="30"/>
      <c r="C55" s="30"/>
      <c r="D55" s="30"/>
      <c r="E55" s="16"/>
      <c r="F55" s="30"/>
      <c r="G55" s="30"/>
    </row>
    <row r="56" customFormat="false" ht="15" hidden="false" customHeight="false" outlineLevel="0" collapsed="false">
      <c r="A56" s="29"/>
      <c r="B56" s="30"/>
      <c r="C56" s="30"/>
      <c r="D56" s="30"/>
      <c r="E56" s="16"/>
      <c r="F56" s="30"/>
      <c r="G56" s="30"/>
    </row>
    <row r="57" customFormat="false" ht="15" hidden="false" customHeight="false" outlineLevel="0" collapsed="false">
      <c r="A57" s="29"/>
      <c r="B57" s="30"/>
      <c r="C57" s="30"/>
      <c r="D57" s="30"/>
      <c r="E57" s="16"/>
      <c r="F57" s="30"/>
      <c r="G57" s="30"/>
    </row>
    <row r="58" customFormat="false" ht="15" hidden="false" customHeight="false" outlineLevel="0" collapsed="false">
      <c r="A58" s="29"/>
      <c r="B58" s="30"/>
      <c r="C58" s="30"/>
      <c r="D58" s="30"/>
      <c r="E58" s="16"/>
      <c r="F58" s="30"/>
      <c r="G58" s="30"/>
    </row>
    <row r="59" customFormat="false" ht="15" hidden="false" customHeight="false" outlineLevel="0" collapsed="false">
      <c r="A59" s="29"/>
      <c r="B59" s="30"/>
      <c r="C59" s="30"/>
      <c r="D59" s="30"/>
      <c r="E59" s="16"/>
      <c r="F59" s="30"/>
      <c r="G59" s="30"/>
    </row>
    <row r="60" customFormat="false" ht="15" hidden="false" customHeight="false" outlineLevel="0" collapsed="false">
      <c r="A60" s="29"/>
      <c r="B60" s="30"/>
      <c r="C60" s="30"/>
      <c r="D60" s="30"/>
      <c r="E60" s="16"/>
      <c r="F60" s="30"/>
      <c r="G60" s="30"/>
    </row>
    <row r="61" customFormat="false" ht="15" hidden="false" customHeight="false" outlineLevel="0" collapsed="false">
      <c r="A61" s="29"/>
      <c r="B61" s="30"/>
      <c r="C61" s="30"/>
      <c r="D61" s="30"/>
      <c r="E61" s="16"/>
      <c r="F61" s="30"/>
      <c r="G61" s="30"/>
    </row>
    <row r="62" customFormat="false" ht="15" hidden="false" customHeight="false" outlineLevel="0" collapsed="false">
      <c r="A62" s="29"/>
      <c r="B62" s="30"/>
      <c r="C62" s="30"/>
      <c r="D62" s="30"/>
      <c r="E62" s="16"/>
      <c r="F62" s="30"/>
      <c r="G62" s="30"/>
    </row>
    <row r="63" customFormat="false" ht="15" hidden="false" customHeight="false" outlineLevel="0" collapsed="false">
      <c r="A63" s="29"/>
      <c r="B63" s="30"/>
      <c r="C63" s="30"/>
      <c r="D63" s="30"/>
      <c r="E63" s="16"/>
      <c r="F63" s="30"/>
      <c r="G63" s="30"/>
    </row>
    <row r="64" customFormat="false" ht="15" hidden="false" customHeight="false" outlineLevel="0" collapsed="false">
      <c r="A64" s="29"/>
      <c r="B64" s="30"/>
      <c r="C64" s="30"/>
      <c r="D64" s="30"/>
      <c r="E64" s="16"/>
      <c r="F64" s="30"/>
      <c r="G64" s="30"/>
    </row>
    <row r="65" customFormat="false" ht="15" hidden="false" customHeight="false" outlineLevel="0" collapsed="false">
      <c r="A65" s="29"/>
      <c r="B65" s="30"/>
      <c r="C65" s="30"/>
      <c r="D65" s="30"/>
      <c r="E65" s="16"/>
      <c r="F65" s="30"/>
      <c r="G65" s="30"/>
    </row>
    <row r="66" customFormat="false" ht="15" hidden="false" customHeight="false" outlineLevel="0" collapsed="false">
      <c r="A66" s="29"/>
      <c r="B66" s="30"/>
      <c r="C66" s="30"/>
      <c r="D66" s="30"/>
      <c r="E66" s="16"/>
      <c r="F66" s="30"/>
      <c r="G66" s="30"/>
    </row>
    <row r="67" customFormat="false" ht="15" hidden="false" customHeight="false" outlineLevel="0" collapsed="false">
      <c r="A67" s="29"/>
      <c r="B67" s="30"/>
      <c r="C67" s="30"/>
      <c r="D67" s="30"/>
      <c r="E67" s="16"/>
      <c r="F67" s="30"/>
      <c r="G67" s="30"/>
    </row>
    <row r="68" customFormat="false" ht="15" hidden="false" customHeight="false" outlineLevel="0" collapsed="false">
      <c r="A68" s="29"/>
      <c r="B68" s="30"/>
      <c r="C68" s="30"/>
      <c r="D68" s="30"/>
      <c r="E68" s="16"/>
      <c r="F68" s="30"/>
      <c r="G68" s="30"/>
    </row>
    <row r="69" customFormat="false" ht="15" hidden="false" customHeight="false" outlineLevel="0" collapsed="false">
      <c r="A69" s="29"/>
      <c r="B69" s="30"/>
      <c r="C69" s="30"/>
      <c r="D69" s="30"/>
      <c r="E69" s="16"/>
      <c r="F69" s="30"/>
      <c r="G69" s="30"/>
    </row>
    <row r="70" customFormat="false" ht="15" hidden="false" customHeight="false" outlineLevel="0" collapsed="false">
      <c r="A70" s="29"/>
      <c r="B70" s="30"/>
      <c r="C70" s="30"/>
      <c r="D70" s="30"/>
      <c r="E70" s="16"/>
      <c r="F70" s="30"/>
      <c r="G70" s="30"/>
    </row>
    <row r="71" customFormat="false" ht="15" hidden="false" customHeight="false" outlineLevel="0" collapsed="false">
      <c r="A71" s="29"/>
      <c r="B71" s="30"/>
      <c r="C71" s="30"/>
      <c r="D71" s="30"/>
      <c r="E71" s="16"/>
      <c r="F71" s="30"/>
      <c r="G71" s="30"/>
    </row>
    <row r="72" customFormat="false" ht="15" hidden="false" customHeight="false" outlineLevel="0" collapsed="false">
      <c r="A72" s="29"/>
      <c r="B72" s="30"/>
      <c r="C72" s="30"/>
      <c r="D72" s="30"/>
      <c r="E72" s="16"/>
      <c r="F72" s="30"/>
      <c r="G72" s="30"/>
    </row>
    <row r="73" customFormat="false" ht="15" hidden="false" customHeight="false" outlineLevel="0" collapsed="false">
      <c r="A73" s="29"/>
      <c r="B73" s="30"/>
      <c r="C73" s="30"/>
      <c r="D73" s="30"/>
      <c r="E73" s="16"/>
      <c r="F73" s="30"/>
      <c r="G73" s="30"/>
    </row>
    <row r="74" customFormat="false" ht="15" hidden="false" customHeight="false" outlineLevel="0" collapsed="false">
      <c r="A74" s="29"/>
      <c r="B74" s="30"/>
      <c r="C74" s="30"/>
      <c r="D74" s="30"/>
      <c r="E74" s="16"/>
      <c r="F74" s="30"/>
      <c r="G74" s="30"/>
    </row>
    <row r="75" customFormat="false" ht="15" hidden="false" customHeight="false" outlineLevel="0" collapsed="false">
      <c r="A75" s="29"/>
      <c r="B75" s="30"/>
      <c r="C75" s="30"/>
      <c r="D75" s="30"/>
      <c r="E75" s="16"/>
      <c r="F75" s="30"/>
      <c r="G75" s="30"/>
    </row>
    <row r="76" customFormat="false" ht="15" hidden="false" customHeight="false" outlineLevel="0" collapsed="false">
      <c r="A76" s="29"/>
      <c r="B76" s="30"/>
      <c r="C76" s="30"/>
      <c r="D76" s="30"/>
      <c r="E76" s="16"/>
      <c r="F76" s="30"/>
      <c r="G76" s="30"/>
    </row>
    <row r="77" customFormat="false" ht="15" hidden="false" customHeight="false" outlineLevel="0" collapsed="false">
      <c r="A77" s="29"/>
      <c r="B77" s="30"/>
      <c r="C77" s="30"/>
      <c r="D77" s="30"/>
      <c r="E77" s="16"/>
      <c r="F77" s="30"/>
      <c r="G77" s="30"/>
    </row>
    <row r="78" customFormat="false" ht="15" hidden="false" customHeight="false" outlineLevel="0" collapsed="false">
      <c r="A78" s="29"/>
      <c r="B78" s="30"/>
      <c r="C78" s="30"/>
      <c r="D78" s="30"/>
      <c r="E78" s="16"/>
      <c r="F78" s="30"/>
      <c r="G78" s="30"/>
    </row>
    <row r="79" customFormat="false" ht="15" hidden="false" customHeight="false" outlineLevel="0" collapsed="false">
      <c r="A79" s="29"/>
      <c r="B79" s="30"/>
      <c r="C79" s="30"/>
      <c r="D79" s="30"/>
      <c r="E79" s="16"/>
      <c r="F79" s="30"/>
      <c r="G79" s="30"/>
    </row>
    <row r="80" customFormat="false" ht="15" hidden="false" customHeight="false" outlineLevel="0" collapsed="false">
      <c r="A80" s="29"/>
      <c r="B80" s="30"/>
      <c r="C80" s="30"/>
      <c r="D80" s="30"/>
      <c r="E80" s="16"/>
      <c r="F80" s="30"/>
      <c r="G80" s="30"/>
    </row>
    <row r="81" customFormat="false" ht="15" hidden="false" customHeight="false" outlineLevel="0" collapsed="false">
      <c r="A81" s="29"/>
      <c r="B81" s="30"/>
      <c r="C81" s="30"/>
      <c r="D81" s="30"/>
      <c r="E81" s="16"/>
      <c r="F81" s="30"/>
      <c r="G81" s="30"/>
    </row>
    <row r="82" customFormat="false" ht="15" hidden="false" customHeight="false" outlineLevel="0" collapsed="false">
      <c r="A82" s="29"/>
      <c r="B82" s="30"/>
      <c r="C82" s="30"/>
      <c r="D82" s="30"/>
      <c r="E82" s="16"/>
      <c r="F82" s="30"/>
      <c r="G82" s="30"/>
    </row>
    <row r="83" customFormat="false" ht="15" hidden="false" customHeight="false" outlineLevel="0" collapsed="false">
      <c r="A83" s="29"/>
      <c r="B83" s="30"/>
      <c r="C83" s="30"/>
      <c r="D83" s="30"/>
      <c r="E83" s="16"/>
      <c r="F83" s="30"/>
      <c r="G83" s="30"/>
    </row>
    <row r="84" customFormat="false" ht="15" hidden="false" customHeight="false" outlineLevel="0" collapsed="false">
      <c r="A84" s="29"/>
      <c r="B84" s="30"/>
      <c r="C84" s="30"/>
      <c r="D84" s="30"/>
      <c r="E84" s="16"/>
      <c r="F84" s="30"/>
      <c r="G84" s="30"/>
    </row>
    <row r="85" customFormat="false" ht="15" hidden="false" customHeight="false" outlineLevel="0" collapsed="false">
      <c r="A85" s="29"/>
      <c r="B85" s="30"/>
      <c r="C85" s="30"/>
      <c r="D85" s="30"/>
      <c r="E85" s="16"/>
      <c r="F85" s="30"/>
      <c r="G85" s="30"/>
    </row>
    <row r="86" customFormat="false" ht="15" hidden="false" customHeight="false" outlineLevel="0" collapsed="false">
      <c r="A86" s="29"/>
      <c r="B86" s="30"/>
      <c r="C86" s="30"/>
      <c r="D86" s="30"/>
      <c r="E86" s="16"/>
      <c r="F86" s="30"/>
      <c r="G86" s="30"/>
    </row>
    <row r="87" customFormat="false" ht="15" hidden="false" customHeight="false" outlineLevel="0" collapsed="false">
      <c r="A87" s="29"/>
      <c r="B87" s="30"/>
      <c r="C87" s="30"/>
      <c r="D87" s="30"/>
      <c r="E87" s="16"/>
      <c r="F87" s="30"/>
      <c r="G87" s="30"/>
    </row>
    <row r="88" customFormat="false" ht="15" hidden="false" customHeight="false" outlineLevel="0" collapsed="false">
      <c r="A88" s="29"/>
      <c r="B88" s="30"/>
      <c r="C88" s="30"/>
      <c r="D88" s="30"/>
      <c r="E88" s="16"/>
      <c r="F88" s="30"/>
      <c r="G88" s="30"/>
    </row>
    <row r="89" customFormat="false" ht="15" hidden="false" customHeight="false" outlineLevel="0" collapsed="false">
      <c r="A89" s="29"/>
      <c r="B89" s="30"/>
      <c r="C89" s="30"/>
      <c r="D89" s="30"/>
      <c r="E89" s="16"/>
      <c r="F89" s="30"/>
      <c r="G89" s="30"/>
    </row>
    <row r="90" customFormat="false" ht="15" hidden="false" customHeight="false" outlineLevel="0" collapsed="false">
      <c r="A90" s="29"/>
      <c r="B90" s="30"/>
      <c r="C90" s="30"/>
      <c r="D90" s="30"/>
      <c r="E90" s="16"/>
      <c r="F90" s="30"/>
      <c r="G90" s="30"/>
    </row>
    <row r="91" customFormat="false" ht="15" hidden="false" customHeight="false" outlineLevel="0" collapsed="false">
      <c r="A91" s="29"/>
      <c r="B91" s="30"/>
      <c r="C91" s="30"/>
      <c r="D91" s="30"/>
      <c r="E91" s="16"/>
      <c r="F91" s="30"/>
      <c r="G91" s="30"/>
    </row>
    <row r="92" customFormat="false" ht="15" hidden="false" customHeight="false" outlineLevel="0" collapsed="false">
      <c r="A92" s="29"/>
      <c r="B92" s="30"/>
      <c r="C92" s="30"/>
      <c r="D92" s="30"/>
      <c r="E92" s="16"/>
      <c r="F92" s="30"/>
      <c r="G92" s="30"/>
    </row>
    <row r="93" customFormat="false" ht="15" hidden="false" customHeight="false" outlineLevel="0" collapsed="false">
      <c r="A93" s="29"/>
      <c r="B93" s="30"/>
      <c r="C93" s="30"/>
      <c r="D93" s="30"/>
      <c r="E93" s="16"/>
      <c r="F93" s="30"/>
      <c r="G93" s="30"/>
    </row>
    <row r="94" customFormat="false" ht="15" hidden="false" customHeight="false" outlineLevel="0" collapsed="false">
      <c r="A94" s="29"/>
      <c r="B94" s="30"/>
      <c r="C94" s="30"/>
      <c r="D94" s="30"/>
      <c r="E94" s="16"/>
      <c r="F94" s="30"/>
      <c r="G94" s="30"/>
    </row>
    <row r="95" customFormat="false" ht="15" hidden="false" customHeight="false" outlineLevel="0" collapsed="false">
      <c r="A95" s="29"/>
      <c r="B95" s="30"/>
      <c r="C95" s="30"/>
      <c r="D95" s="30"/>
      <c r="E95" s="16"/>
      <c r="F95" s="30"/>
      <c r="G95" s="30"/>
    </row>
    <row r="96" customFormat="false" ht="15" hidden="false" customHeight="false" outlineLevel="0" collapsed="false">
      <c r="A96" s="29"/>
      <c r="B96" s="30"/>
      <c r="C96" s="30"/>
      <c r="D96" s="30"/>
      <c r="E96" s="16"/>
      <c r="F96" s="30"/>
      <c r="G96" s="30"/>
    </row>
    <row r="97" customFormat="false" ht="15" hidden="false" customHeight="false" outlineLevel="0" collapsed="false">
      <c r="A97" s="29"/>
      <c r="B97" s="30"/>
      <c r="C97" s="30"/>
      <c r="D97" s="30"/>
      <c r="E97" s="16"/>
      <c r="F97" s="30"/>
      <c r="G97" s="30"/>
    </row>
    <row r="98" customFormat="false" ht="15" hidden="false" customHeight="false" outlineLevel="0" collapsed="false">
      <c r="A98" s="29"/>
      <c r="B98" s="30"/>
      <c r="C98" s="30"/>
      <c r="D98" s="30"/>
      <c r="E98" s="16"/>
      <c r="F98" s="30"/>
      <c r="G98" s="30"/>
    </row>
    <row r="99" customFormat="false" ht="15" hidden="false" customHeight="false" outlineLevel="0" collapsed="false">
      <c r="A99" s="29"/>
      <c r="B99" s="30"/>
      <c r="C99" s="30"/>
      <c r="D99" s="30"/>
      <c r="E99" s="16"/>
      <c r="F99" s="30"/>
      <c r="G99" s="30"/>
    </row>
    <row r="100" customFormat="false" ht="15" hidden="false" customHeight="false" outlineLevel="0" collapsed="false">
      <c r="A100" s="29"/>
      <c r="B100" s="30"/>
      <c r="C100" s="30"/>
      <c r="D100" s="30"/>
      <c r="E100" s="16"/>
      <c r="F100" s="30"/>
      <c r="G100" s="30"/>
    </row>
    <row r="101" customFormat="false" ht="15" hidden="false" customHeight="false" outlineLevel="0" collapsed="false">
      <c r="A101" s="29"/>
      <c r="B101" s="30"/>
      <c r="C101" s="30"/>
      <c r="D101" s="30"/>
      <c r="E101" s="16"/>
      <c r="F101" s="30"/>
      <c r="G101" s="30"/>
    </row>
    <row r="102" customFormat="false" ht="15" hidden="false" customHeight="false" outlineLevel="0" collapsed="false">
      <c r="A102" s="29"/>
      <c r="B102" s="30"/>
      <c r="C102" s="30"/>
      <c r="D102" s="30"/>
      <c r="E102" s="16"/>
      <c r="F102" s="30"/>
      <c r="G102" s="30"/>
    </row>
    <row r="103" customFormat="false" ht="15" hidden="false" customHeight="false" outlineLevel="0" collapsed="false">
      <c r="A103" s="29"/>
      <c r="B103" s="30"/>
      <c r="C103" s="30"/>
      <c r="D103" s="30"/>
      <c r="E103" s="16"/>
      <c r="F103" s="30"/>
      <c r="G103" s="30"/>
    </row>
    <row r="104" customFormat="false" ht="15" hidden="false" customHeight="false" outlineLevel="0" collapsed="false">
      <c r="A104" s="29"/>
      <c r="B104" s="30"/>
      <c r="C104" s="30"/>
      <c r="D104" s="30"/>
      <c r="E104" s="16"/>
      <c r="F104" s="30"/>
      <c r="G104" s="30"/>
    </row>
    <row r="105" customFormat="false" ht="15" hidden="false" customHeight="false" outlineLevel="0" collapsed="false">
      <c r="A105" s="29"/>
      <c r="B105" s="30"/>
      <c r="C105" s="30"/>
      <c r="D105" s="30"/>
      <c r="E105" s="16"/>
      <c r="F105" s="30"/>
      <c r="G105" s="30"/>
    </row>
    <row r="106" customFormat="false" ht="15" hidden="false" customHeight="false" outlineLevel="0" collapsed="false">
      <c r="A106" s="29"/>
      <c r="B106" s="30"/>
      <c r="C106" s="30"/>
      <c r="D106" s="30"/>
      <c r="E106" s="16"/>
      <c r="F106" s="30"/>
      <c r="G106" s="30"/>
    </row>
    <row r="107" customFormat="false" ht="15" hidden="false" customHeight="false" outlineLevel="0" collapsed="false">
      <c r="A107" s="29"/>
      <c r="B107" s="30"/>
      <c r="C107" s="30"/>
      <c r="D107" s="30"/>
      <c r="E107" s="16"/>
      <c r="F107" s="30"/>
      <c r="G107" s="30"/>
    </row>
    <row r="108" customFormat="false" ht="15" hidden="false" customHeight="false" outlineLevel="0" collapsed="false">
      <c r="A108" s="29"/>
      <c r="B108" s="30"/>
      <c r="C108" s="30"/>
      <c r="D108" s="30"/>
      <c r="E108" s="16"/>
      <c r="F108" s="30"/>
      <c r="G108" s="30"/>
    </row>
    <row r="109" customFormat="false" ht="15" hidden="false" customHeight="false" outlineLevel="0" collapsed="false">
      <c r="A109" s="29"/>
      <c r="B109" s="30"/>
      <c r="C109" s="30"/>
      <c r="D109" s="30"/>
      <c r="E109" s="16"/>
      <c r="F109" s="30"/>
      <c r="G109" s="30"/>
    </row>
    <row r="110" customFormat="false" ht="15" hidden="false" customHeight="false" outlineLevel="0" collapsed="false">
      <c r="A110" s="29"/>
      <c r="B110" s="30"/>
      <c r="C110" s="30"/>
      <c r="D110" s="30"/>
      <c r="E110" s="16"/>
      <c r="F110" s="30"/>
      <c r="G110" s="30"/>
    </row>
    <row r="111" customFormat="false" ht="15" hidden="false" customHeight="false" outlineLevel="0" collapsed="false">
      <c r="A111" s="29"/>
      <c r="B111" s="30"/>
      <c r="C111" s="30"/>
      <c r="D111" s="30"/>
      <c r="E111" s="16"/>
      <c r="F111" s="30"/>
      <c r="G111" s="30"/>
    </row>
    <row r="112" customFormat="false" ht="15" hidden="false" customHeight="false" outlineLevel="0" collapsed="false">
      <c r="A112" s="29"/>
      <c r="B112" s="30"/>
      <c r="C112" s="30"/>
      <c r="D112" s="30"/>
      <c r="E112" s="16"/>
      <c r="F112" s="30"/>
      <c r="G112" s="30"/>
    </row>
    <row r="113" customFormat="false" ht="15" hidden="false" customHeight="false" outlineLevel="0" collapsed="false">
      <c r="A113" s="29"/>
      <c r="B113" s="30"/>
      <c r="C113" s="30"/>
      <c r="D113" s="30"/>
      <c r="E113" s="16"/>
      <c r="F113" s="30"/>
      <c r="G113" s="30"/>
    </row>
    <row r="114" customFormat="false" ht="15" hidden="false" customHeight="false" outlineLevel="0" collapsed="false">
      <c r="A114" s="29"/>
      <c r="B114" s="30"/>
      <c r="C114" s="30"/>
      <c r="D114" s="30"/>
      <c r="E114" s="16"/>
      <c r="F114" s="30"/>
      <c r="G114" s="30"/>
    </row>
    <row r="115" customFormat="false" ht="15" hidden="false" customHeight="false" outlineLevel="0" collapsed="false">
      <c r="A115" s="29"/>
      <c r="B115" s="30"/>
      <c r="C115" s="30"/>
      <c r="D115" s="30"/>
      <c r="E115" s="16"/>
      <c r="F115" s="30"/>
      <c r="G115" s="30"/>
    </row>
    <row r="116" customFormat="false" ht="15" hidden="false" customHeight="false" outlineLevel="0" collapsed="false">
      <c r="A116" s="29"/>
      <c r="B116" s="30"/>
      <c r="C116" s="30"/>
      <c r="D116" s="30"/>
      <c r="E116" s="16"/>
      <c r="F116" s="30"/>
      <c r="G116" s="30"/>
    </row>
    <row r="117" customFormat="false" ht="15" hidden="false" customHeight="false" outlineLevel="0" collapsed="false">
      <c r="A117" s="29"/>
      <c r="B117" s="30"/>
      <c r="C117" s="30"/>
      <c r="D117" s="30"/>
      <c r="E117" s="16"/>
      <c r="F117" s="30"/>
      <c r="G117" s="30"/>
    </row>
    <row r="118" customFormat="false" ht="15" hidden="false" customHeight="false" outlineLevel="0" collapsed="false">
      <c r="A118" s="29"/>
      <c r="B118" s="30"/>
      <c r="C118" s="30"/>
      <c r="D118" s="30"/>
      <c r="E118" s="16"/>
      <c r="F118" s="30"/>
      <c r="G118" s="30"/>
    </row>
    <row r="119" customFormat="false" ht="15" hidden="false" customHeight="false" outlineLevel="0" collapsed="false">
      <c r="A119" s="29"/>
      <c r="B119" s="30"/>
      <c r="C119" s="30"/>
      <c r="D119" s="30"/>
      <c r="E119" s="16"/>
      <c r="F119" s="30"/>
      <c r="G119" s="30"/>
    </row>
    <row r="120" customFormat="false" ht="15" hidden="false" customHeight="false" outlineLevel="0" collapsed="false">
      <c r="A120" s="29"/>
      <c r="B120" s="30"/>
      <c r="C120" s="30"/>
      <c r="D120" s="30"/>
      <c r="E120" s="16"/>
      <c r="F120" s="30"/>
      <c r="G120" s="30"/>
    </row>
    <row r="121" customFormat="false" ht="15" hidden="false" customHeight="false" outlineLevel="0" collapsed="false">
      <c r="A121" s="29"/>
      <c r="B121" s="30"/>
      <c r="C121" s="30"/>
      <c r="D121" s="30"/>
      <c r="E121" s="16"/>
      <c r="F121" s="30"/>
      <c r="G121" s="30"/>
    </row>
    <row r="122" customFormat="false" ht="15" hidden="false" customHeight="false" outlineLevel="0" collapsed="false">
      <c r="A122" s="29"/>
      <c r="B122" s="30"/>
      <c r="C122" s="30"/>
      <c r="D122" s="30"/>
      <c r="E122" s="16"/>
      <c r="F122" s="30"/>
      <c r="G122" s="30"/>
    </row>
    <row r="123" customFormat="false" ht="15" hidden="false" customHeight="false" outlineLevel="0" collapsed="false">
      <c r="A123" s="29"/>
      <c r="B123" s="30"/>
      <c r="C123" s="30"/>
      <c r="D123" s="30"/>
      <c r="E123" s="16"/>
      <c r="F123" s="30"/>
      <c r="G123" s="30"/>
    </row>
    <row r="124" customFormat="false" ht="15" hidden="false" customHeight="false" outlineLevel="0" collapsed="false">
      <c r="A124" s="29"/>
      <c r="B124" s="30"/>
      <c r="C124" s="30"/>
      <c r="D124" s="30"/>
      <c r="E124" s="16"/>
      <c r="F124" s="30"/>
      <c r="G124" s="30"/>
    </row>
    <row r="125" customFormat="false" ht="15" hidden="false" customHeight="false" outlineLevel="0" collapsed="false">
      <c r="A125" s="29"/>
      <c r="B125" s="30"/>
      <c r="C125" s="30"/>
      <c r="D125" s="30"/>
      <c r="E125" s="16"/>
      <c r="F125" s="30"/>
      <c r="G125" s="30"/>
    </row>
    <row r="126" customFormat="false" ht="15" hidden="false" customHeight="false" outlineLevel="0" collapsed="false">
      <c r="A126" s="29"/>
      <c r="B126" s="30"/>
      <c r="C126" s="30"/>
      <c r="D126" s="30"/>
      <c r="E126" s="16"/>
      <c r="F126" s="30"/>
      <c r="G126" s="30"/>
    </row>
    <row r="127" customFormat="false" ht="15" hidden="false" customHeight="false" outlineLevel="0" collapsed="false">
      <c r="A127" s="29"/>
      <c r="B127" s="30"/>
      <c r="C127" s="30"/>
      <c r="D127" s="30"/>
      <c r="E127" s="16"/>
      <c r="F127" s="30"/>
      <c r="G127" s="30"/>
    </row>
    <row r="128" customFormat="false" ht="15" hidden="false" customHeight="false" outlineLevel="0" collapsed="false">
      <c r="A128" s="29"/>
      <c r="B128" s="30"/>
      <c r="C128" s="30"/>
      <c r="D128" s="30"/>
      <c r="E128" s="16"/>
      <c r="F128" s="30"/>
      <c r="G128" s="30"/>
    </row>
    <row r="129" customFormat="false" ht="15" hidden="false" customHeight="false" outlineLevel="0" collapsed="false">
      <c r="A129" s="29"/>
      <c r="B129" s="30"/>
      <c r="C129" s="30"/>
      <c r="D129" s="30"/>
      <c r="E129" s="16"/>
      <c r="F129" s="30"/>
      <c r="G129" s="30"/>
    </row>
    <row r="130" customFormat="false" ht="15" hidden="false" customHeight="false" outlineLevel="0" collapsed="false">
      <c r="A130" s="29"/>
      <c r="B130" s="30"/>
      <c r="C130" s="30"/>
      <c r="D130" s="30"/>
      <c r="E130" s="16"/>
      <c r="F130" s="30"/>
      <c r="G130" s="30"/>
    </row>
    <row r="131" customFormat="false" ht="15" hidden="false" customHeight="false" outlineLevel="0" collapsed="false">
      <c r="A131" s="29"/>
      <c r="B131" s="30"/>
      <c r="C131" s="30"/>
      <c r="D131" s="30"/>
      <c r="E131" s="16"/>
      <c r="F131" s="30"/>
      <c r="G131" s="30"/>
    </row>
    <row r="132" customFormat="false" ht="15" hidden="false" customHeight="false" outlineLevel="0" collapsed="false">
      <c r="A132" s="29"/>
      <c r="B132" s="30"/>
      <c r="C132" s="30"/>
      <c r="D132" s="30"/>
      <c r="E132" s="16"/>
      <c r="F132" s="30"/>
      <c r="G132" s="30"/>
    </row>
    <row r="133" customFormat="false" ht="15" hidden="false" customHeight="false" outlineLevel="0" collapsed="false">
      <c r="A133" s="29"/>
      <c r="B133" s="30"/>
      <c r="C133" s="30"/>
      <c r="D133" s="30"/>
      <c r="E133" s="16"/>
      <c r="F133" s="30"/>
      <c r="G133" s="30"/>
    </row>
    <row r="134" customFormat="false" ht="15" hidden="false" customHeight="false" outlineLevel="0" collapsed="false">
      <c r="A134" s="29"/>
      <c r="B134" s="30"/>
      <c r="C134" s="30"/>
      <c r="D134" s="30"/>
      <c r="E134" s="16"/>
      <c r="F134" s="30"/>
      <c r="G134" s="30"/>
    </row>
    <row r="135" customFormat="false" ht="15" hidden="false" customHeight="false" outlineLevel="0" collapsed="false">
      <c r="A135" s="29"/>
      <c r="B135" s="30"/>
      <c r="C135" s="30"/>
      <c r="D135" s="30"/>
      <c r="E135" s="16"/>
      <c r="F135" s="30"/>
      <c r="G135" s="30"/>
    </row>
    <row r="136" customFormat="false" ht="15" hidden="false" customHeight="false" outlineLevel="0" collapsed="false">
      <c r="A136" s="29"/>
      <c r="B136" s="30"/>
      <c r="C136" s="30"/>
      <c r="D136" s="30"/>
      <c r="E136" s="16"/>
      <c r="F136" s="30"/>
      <c r="G136" s="30"/>
    </row>
    <row r="137" customFormat="false" ht="15" hidden="false" customHeight="false" outlineLevel="0" collapsed="false">
      <c r="A137" s="29"/>
      <c r="B137" s="30"/>
      <c r="C137" s="30"/>
      <c r="D137" s="30"/>
      <c r="E137" s="16"/>
      <c r="F137" s="30"/>
      <c r="G137" s="30"/>
    </row>
    <row r="138" customFormat="false" ht="15" hidden="false" customHeight="false" outlineLevel="0" collapsed="false">
      <c r="A138" s="29"/>
      <c r="B138" s="30"/>
      <c r="C138" s="30"/>
      <c r="D138" s="30"/>
      <c r="E138" s="16"/>
      <c r="F138" s="30"/>
      <c r="G138" s="30"/>
    </row>
    <row r="139" customFormat="false" ht="15" hidden="false" customHeight="false" outlineLevel="0" collapsed="false">
      <c r="A139" s="29"/>
      <c r="B139" s="30"/>
      <c r="C139" s="30"/>
      <c r="D139" s="30"/>
      <c r="E139" s="16"/>
      <c r="F139" s="30"/>
      <c r="G139" s="30"/>
    </row>
    <row r="140" customFormat="false" ht="15" hidden="false" customHeight="false" outlineLevel="0" collapsed="false">
      <c r="A140" s="29"/>
      <c r="B140" s="30"/>
      <c r="C140" s="30"/>
      <c r="D140" s="30"/>
      <c r="E140" s="16"/>
      <c r="F140" s="30"/>
      <c r="G140" s="30"/>
    </row>
    <row r="141" customFormat="false" ht="15" hidden="false" customHeight="false" outlineLevel="0" collapsed="false">
      <c r="A141" s="29"/>
      <c r="B141" s="30"/>
      <c r="C141" s="30"/>
      <c r="D141" s="30"/>
      <c r="E141" s="16"/>
      <c r="F141" s="30"/>
      <c r="G141" s="30"/>
    </row>
    <row r="142" customFormat="false" ht="15" hidden="false" customHeight="false" outlineLevel="0" collapsed="false">
      <c r="A142" s="29"/>
      <c r="B142" s="30"/>
      <c r="C142" s="30"/>
      <c r="D142" s="30"/>
      <c r="E142" s="16"/>
      <c r="F142" s="30"/>
      <c r="G142" s="30"/>
    </row>
    <row r="143" customFormat="false" ht="15" hidden="false" customHeight="false" outlineLevel="0" collapsed="false">
      <c r="A143" s="29"/>
      <c r="B143" s="30"/>
      <c r="C143" s="30"/>
      <c r="D143" s="30"/>
      <c r="E143" s="16"/>
      <c r="F143" s="30"/>
      <c r="G143" s="30"/>
    </row>
    <row r="144" customFormat="false" ht="15" hidden="false" customHeight="false" outlineLevel="0" collapsed="false">
      <c r="A144" s="29"/>
      <c r="B144" s="30"/>
      <c r="C144" s="30"/>
      <c r="D144" s="30"/>
      <c r="E144" s="16"/>
      <c r="F144" s="30"/>
      <c r="G144" s="30"/>
    </row>
    <row r="145" customFormat="false" ht="15" hidden="false" customHeight="false" outlineLevel="0" collapsed="false">
      <c r="A145" s="29"/>
      <c r="B145" s="30"/>
      <c r="C145" s="30"/>
      <c r="D145" s="30"/>
      <c r="E145" s="16"/>
      <c r="F145" s="30"/>
      <c r="G145" s="30"/>
    </row>
    <row r="146" customFormat="false" ht="15" hidden="false" customHeight="false" outlineLevel="0" collapsed="false">
      <c r="A146" s="29"/>
      <c r="B146" s="30"/>
      <c r="C146" s="30"/>
      <c r="D146" s="30"/>
      <c r="E146" s="16"/>
      <c r="F146" s="30"/>
      <c r="G146" s="30"/>
    </row>
    <row r="147" customFormat="false" ht="15" hidden="false" customHeight="false" outlineLevel="0" collapsed="false">
      <c r="A147" s="29"/>
      <c r="B147" s="30"/>
      <c r="C147" s="30"/>
      <c r="D147" s="30"/>
      <c r="E147" s="16"/>
      <c r="F147" s="30"/>
      <c r="G147" s="30"/>
    </row>
    <row r="148" customFormat="false" ht="15" hidden="false" customHeight="false" outlineLevel="0" collapsed="false">
      <c r="A148" s="29"/>
      <c r="B148" s="30"/>
      <c r="C148" s="30"/>
      <c r="D148" s="30"/>
      <c r="E148" s="16"/>
      <c r="F148" s="30"/>
      <c r="G148" s="30"/>
    </row>
    <row r="149" customFormat="false" ht="15" hidden="false" customHeight="false" outlineLevel="0" collapsed="false">
      <c r="A149" s="29"/>
      <c r="B149" s="30"/>
      <c r="C149" s="30"/>
      <c r="D149" s="30"/>
      <c r="E149" s="16"/>
      <c r="F149" s="30"/>
      <c r="G149" s="30"/>
    </row>
    <row r="150" customFormat="false" ht="15" hidden="false" customHeight="false" outlineLevel="0" collapsed="false">
      <c r="A150" s="29"/>
      <c r="B150" s="30"/>
      <c r="C150" s="30"/>
      <c r="D150" s="30"/>
      <c r="E150" s="16"/>
      <c r="F150" s="30"/>
      <c r="G150" s="30"/>
    </row>
    <row r="151" customFormat="false" ht="15" hidden="false" customHeight="false" outlineLevel="0" collapsed="false">
      <c r="A151" s="29"/>
      <c r="B151" s="30"/>
      <c r="C151" s="30"/>
      <c r="D151" s="30"/>
      <c r="E151" s="16"/>
      <c r="F151" s="30"/>
      <c r="G151" s="30"/>
    </row>
    <row r="152" customFormat="false" ht="15" hidden="false" customHeight="false" outlineLevel="0" collapsed="false">
      <c r="A152" s="29"/>
      <c r="B152" s="30"/>
      <c r="C152" s="30"/>
      <c r="D152" s="30"/>
      <c r="E152" s="16"/>
      <c r="F152" s="30"/>
      <c r="G152" s="30"/>
    </row>
    <row r="153" customFormat="false" ht="15" hidden="false" customHeight="false" outlineLevel="0" collapsed="false">
      <c r="A153" s="29"/>
      <c r="B153" s="30"/>
      <c r="C153" s="30"/>
      <c r="D153" s="30"/>
      <c r="E153" s="16"/>
      <c r="F153" s="30"/>
      <c r="G153" s="30"/>
    </row>
    <row r="154" customFormat="false" ht="15" hidden="false" customHeight="false" outlineLevel="0" collapsed="false">
      <c r="A154" s="29"/>
      <c r="B154" s="30"/>
      <c r="C154" s="30"/>
      <c r="D154" s="30"/>
      <c r="E154" s="16"/>
      <c r="F154" s="30"/>
      <c r="G154" s="30"/>
    </row>
    <row r="155" customFormat="false" ht="15" hidden="false" customHeight="false" outlineLevel="0" collapsed="false">
      <c r="A155" s="29"/>
      <c r="B155" s="30"/>
      <c r="C155" s="30"/>
      <c r="D155" s="30"/>
      <c r="E155" s="16"/>
      <c r="F155" s="30"/>
      <c r="G155" s="30"/>
    </row>
    <row r="156" customFormat="false" ht="15" hidden="false" customHeight="false" outlineLevel="0" collapsed="false">
      <c r="A156" s="29"/>
      <c r="B156" s="30"/>
      <c r="C156" s="30"/>
      <c r="D156" s="30"/>
      <c r="E156" s="16"/>
      <c r="F156" s="30"/>
      <c r="G156" s="30"/>
    </row>
    <row r="157" customFormat="false" ht="15" hidden="false" customHeight="false" outlineLevel="0" collapsed="false">
      <c r="A157" s="29"/>
      <c r="B157" s="30"/>
      <c r="C157" s="30"/>
      <c r="D157" s="30"/>
      <c r="E157" s="16"/>
      <c r="F157" s="30"/>
      <c r="G157" s="30"/>
    </row>
    <row r="158" customFormat="false" ht="15" hidden="false" customHeight="false" outlineLevel="0" collapsed="false">
      <c r="A158" s="29"/>
      <c r="B158" s="30"/>
      <c r="C158" s="30"/>
      <c r="D158" s="30"/>
      <c r="E158" s="16"/>
      <c r="F158" s="30"/>
      <c r="G158" s="30"/>
    </row>
    <row r="159" customFormat="false" ht="15" hidden="false" customHeight="false" outlineLevel="0" collapsed="false">
      <c r="A159" s="29"/>
      <c r="B159" s="30"/>
      <c r="C159" s="30"/>
      <c r="D159" s="30"/>
      <c r="E159" s="16"/>
      <c r="F159" s="30"/>
      <c r="G159" s="30"/>
    </row>
    <row r="160" customFormat="false" ht="15" hidden="false" customHeight="false" outlineLevel="0" collapsed="false">
      <c r="A160" s="29"/>
      <c r="B160" s="30"/>
      <c r="C160" s="30"/>
      <c r="D160" s="30"/>
      <c r="E160" s="16"/>
      <c r="F160" s="30"/>
      <c r="G160" s="30"/>
    </row>
    <row r="161" customFormat="false" ht="15" hidden="false" customHeight="false" outlineLevel="0" collapsed="false">
      <c r="A161" s="29"/>
      <c r="B161" s="30"/>
      <c r="C161" s="30"/>
      <c r="D161" s="30"/>
      <c r="E161" s="16"/>
      <c r="F161" s="30"/>
      <c r="G161" s="30"/>
    </row>
    <row r="162" customFormat="false" ht="15" hidden="false" customHeight="false" outlineLevel="0" collapsed="false">
      <c r="A162" s="29"/>
      <c r="B162" s="30"/>
      <c r="C162" s="30"/>
      <c r="D162" s="30"/>
      <c r="E162" s="16"/>
      <c r="F162" s="30"/>
      <c r="G162" s="30"/>
    </row>
    <row r="163" customFormat="false" ht="15" hidden="false" customHeight="false" outlineLevel="0" collapsed="false">
      <c r="A163" s="29"/>
      <c r="B163" s="30"/>
      <c r="C163" s="30"/>
      <c r="D163" s="30"/>
      <c r="E163" s="16"/>
      <c r="F163" s="30"/>
      <c r="G163" s="30"/>
    </row>
    <row r="164" customFormat="false" ht="15" hidden="false" customHeight="false" outlineLevel="0" collapsed="false">
      <c r="A164" s="29"/>
      <c r="B164" s="30"/>
      <c r="C164" s="30"/>
      <c r="D164" s="30"/>
      <c r="E164" s="16"/>
      <c r="F164" s="30"/>
      <c r="G164" s="30"/>
    </row>
    <row r="165" customFormat="false" ht="15" hidden="false" customHeight="false" outlineLevel="0" collapsed="false">
      <c r="A165" s="29"/>
      <c r="B165" s="30"/>
      <c r="C165" s="30"/>
      <c r="D165" s="30"/>
      <c r="E165" s="16"/>
      <c r="F165" s="30"/>
      <c r="G165" s="30"/>
    </row>
    <row r="166" customFormat="false" ht="15" hidden="false" customHeight="false" outlineLevel="0" collapsed="false">
      <c r="A166" s="29"/>
      <c r="B166" s="30"/>
      <c r="C166" s="30"/>
      <c r="D166" s="30"/>
      <c r="E166" s="16"/>
      <c r="F166" s="30"/>
      <c r="G166" s="30"/>
    </row>
    <row r="167" customFormat="false" ht="15" hidden="false" customHeight="false" outlineLevel="0" collapsed="false">
      <c r="A167" s="29"/>
      <c r="B167" s="30"/>
      <c r="C167" s="30"/>
      <c r="D167" s="30"/>
      <c r="E167" s="16"/>
      <c r="F167" s="30"/>
      <c r="G167" s="30"/>
    </row>
    <row r="168" customFormat="false" ht="15" hidden="false" customHeight="false" outlineLevel="0" collapsed="false">
      <c r="A168" s="29"/>
      <c r="B168" s="30"/>
      <c r="C168" s="30"/>
      <c r="D168" s="30"/>
      <c r="E168" s="16"/>
      <c r="F168" s="30"/>
      <c r="G168" s="30"/>
    </row>
    <row r="169" customFormat="false" ht="15" hidden="false" customHeight="false" outlineLevel="0" collapsed="false">
      <c r="A169" s="29"/>
      <c r="B169" s="30"/>
      <c r="C169" s="30"/>
      <c r="D169" s="30"/>
      <c r="E169" s="16"/>
      <c r="F169" s="30"/>
      <c r="G169" s="30"/>
    </row>
    <row r="170" customFormat="false" ht="15" hidden="false" customHeight="false" outlineLevel="0" collapsed="false">
      <c r="A170" s="29"/>
      <c r="B170" s="30"/>
      <c r="C170" s="30"/>
      <c r="D170" s="30"/>
      <c r="E170" s="16"/>
      <c r="F170" s="30"/>
      <c r="G170" s="30"/>
    </row>
    <row r="171" customFormat="false" ht="15" hidden="false" customHeight="false" outlineLevel="0" collapsed="false">
      <c r="A171" s="29"/>
      <c r="B171" s="30"/>
      <c r="C171" s="30"/>
      <c r="D171" s="30"/>
      <c r="E171" s="16"/>
      <c r="F171" s="30"/>
      <c r="G171" s="30"/>
    </row>
    <row r="172" customFormat="false" ht="15" hidden="false" customHeight="false" outlineLevel="0" collapsed="false">
      <c r="A172" s="29"/>
      <c r="B172" s="30"/>
      <c r="C172" s="30"/>
      <c r="D172" s="30"/>
      <c r="E172" s="16"/>
      <c r="F172" s="30"/>
      <c r="G172" s="30"/>
    </row>
    <row r="173" customFormat="false" ht="15" hidden="false" customHeight="false" outlineLevel="0" collapsed="false">
      <c r="A173" s="29"/>
      <c r="B173" s="30"/>
      <c r="C173" s="30"/>
      <c r="D173" s="30"/>
      <c r="E173" s="16"/>
      <c r="F173" s="30"/>
      <c r="G173" s="30"/>
    </row>
    <row r="174" customFormat="false" ht="15" hidden="false" customHeight="false" outlineLevel="0" collapsed="false">
      <c r="A174" s="29"/>
      <c r="B174" s="30"/>
      <c r="C174" s="30"/>
      <c r="D174" s="30"/>
      <c r="E174" s="16"/>
      <c r="F174" s="30"/>
      <c r="G174" s="30"/>
    </row>
    <row r="175" customFormat="false" ht="15" hidden="false" customHeight="false" outlineLevel="0" collapsed="false">
      <c r="A175" s="29"/>
      <c r="B175" s="30"/>
      <c r="C175" s="30"/>
      <c r="D175" s="30"/>
      <c r="E175" s="16"/>
      <c r="F175" s="30"/>
      <c r="G175" s="30"/>
    </row>
    <row r="176" customFormat="false" ht="15" hidden="false" customHeight="false" outlineLevel="0" collapsed="false">
      <c r="A176" s="29"/>
      <c r="B176" s="30"/>
      <c r="C176" s="30"/>
      <c r="D176" s="30"/>
      <c r="E176" s="16"/>
      <c r="F176" s="30"/>
      <c r="G176" s="30"/>
    </row>
    <row r="177" customFormat="false" ht="15" hidden="false" customHeight="false" outlineLevel="0" collapsed="false">
      <c r="A177" s="29"/>
      <c r="B177" s="30"/>
      <c r="C177" s="30"/>
      <c r="D177" s="30"/>
      <c r="E177" s="16"/>
      <c r="F177" s="30"/>
      <c r="G177" s="30"/>
    </row>
    <row r="178" customFormat="false" ht="15" hidden="false" customHeight="false" outlineLevel="0" collapsed="false">
      <c r="A178" s="29"/>
      <c r="B178" s="30"/>
      <c r="C178" s="30"/>
      <c r="D178" s="30"/>
      <c r="E178" s="16"/>
      <c r="F178" s="30"/>
      <c r="G178" s="30"/>
    </row>
    <row r="179" customFormat="false" ht="15" hidden="false" customHeight="false" outlineLevel="0" collapsed="false">
      <c r="A179" s="29"/>
      <c r="B179" s="30"/>
      <c r="C179" s="30"/>
      <c r="D179" s="30"/>
      <c r="E179" s="16"/>
      <c r="F179" s="30"/>
      <c r="G179" s="30"/>
    </row>
    <row r="180" customFormat="false" ht="15" hidden="false" customHeight="false" outlineLevel="0" collapsed="false">
      <c r="A180" s="29"/>
      <c r="B180" s="30"/>
      <c r="C180" s="30"/>
      <c r="D180" s="30"/>
      <c r="E180" s="16"/>
      <c r="F180" s="30"/>
      <c r="G180" s="30"/>
    </row>
    <row r="181" customFormat="false" ht="15" hidden="false" customHeight="false" outlineLevel="0" collapsed="false">
      <c r="A181" s="29"/>
      <c r="B181" s="30"/>
      <c r="C181" s="30"/>
      <c r="D181" s="30"/>
      <c r="E181" s="16"/>
      <c r="F181" s="30"/>
      <c r="G181" s="30"/>
    </row>
    <row r="182" customFormat="false" ht="15" hidden="false" customHeight="false" outlineLevel="0" collapsed="false">
      <c r="A182" s="29"/>
      <c r="B182" s="30"/>
      <c r="C182" s="30"/>
      <c r="D182" s="30"/>
      <c r="E182" s="16"/>
      <c r="F182" s="30"/>
      <c r="G182" s="30"/>
    </row>
    <row r="183" customFormat="false" ht="15" hidden="false" customHeight="false" outlineLevel="0" collapsed="false">
      <c r="A183" s="29"/>
      <c r="B183" s="30"/>
      <c r="C183" s="30"/>
      <c r="D183" s="30"/>
      <c r="E183" s="16"/>
      <c r="F183" s="30"/>
      <c r="G183" s="30"/>
    </row>
    <row r="184" customFormat="false" ht="15" hidden="false" customHeight="false" outlineLevel="0" collapsed="false">
      <c r="A184" s="29"/>
      <c r="B184" s="30"/>
      <c r="C184" s="30"/>
      <c r="D184" s="30"/>
      <c r="E184" s="16"/>
      <c r="F184" s="30"/>
      <c r="G184" s="30"/>
    </row>
    <row r="185" customFormat="false" ht="15" hidden="false" customHeight="false" outlineLevel="0" collapsed="false">
      <c r="A185" s="29"/>
      <c r="B185" s="30"/>
      <c r="C185" s="30"/>
      <c r="D185" s="30"/>
      <c r="E185" s="16"/>
      <c r="F185" s="30"/>
      <c r="G185" s="30"/>
    </row>
    <row r="186" customFormat="false" ht="15" hidden="false" customHeight="false" outlineLevel="0" collapsed="false">
      <c r="A186" s="29"/>
      <c r="B186" s="30"/>
      <c r="C186" s="30"/>
      <c r="D186" s="30"/>
      <c r="E186" s="16"/>
      <c r="F186" s="30"/>
      <c r="G186" s="30"/>
    </row>
    <row r="187" customFormat="false" ht="15" hidden="false" customHeight="false" outlineLevel="0" collapsed="false">
      <c r="A187" s="29"/>
      <c r="B187" s="30"/>
      <c r="C187" s="30"/>
      <c r="D187" s="30"/>
      <c r="E187" s="16"/>
      <c r="F187" s="30"/>
      <c r="G187" s="30"/>
    </row>
    <row r="188" customFormat="false" ht="15" hidden="false" customHeight="false" outlineLevel="0" collapsed="false">
      <c r="A188" s="29"/>
      <c r="B188" s="30"/>
      <c r="C188" s="30"/>
      <c r="D188" s="30"/>
      <c r="E188" s="16"/>
      <c r="F188" s="30"/>
      <c r="G188" s="30"/>
    </row>
    <row r="189" customFormat="false" ht="15" hidden="false" customHeight="false" outlineLevel="0" collapsed="false">
      <c r="A189" s="29"/>
      <c r="B189" s="30"/>
      <c r="C189" s="30"/>
      <c r="D189" s="30"/>
      <c r="E189" s="16"/>
      <c r="F189" s="30"/>
      <c r="G189" s="30"/>
    </row>
    <row r="190" customFormat="false" ht="15" hidden="false" customHeight="false" outlineLevel="0" collapsed="false">
      <c r="A190" s="29"/>
      <c r="B190" s="30"/>
      <c r="C190" s="30"/>
      <c r="D190" s="30"/>
      <c r="E190" s="16"/>
      <c r="F190" s="30"/>
      <c r="G190" s="30"/>
    </row>
    <row r="191" customFormat="false" ht="15" hidden="false" customHeight="false" outlineLevel="0" collapsed="false">
      <c r="A191" s="29"/>
      <c r="B191" s="30"/>
      <c r="C191" s="30"/>
      <c r="D191" s="30"/>
      <c r="E191" s="16"/>
      <c r="F191" s="30"/>
      <c r="G191" s="30"/>
    </row>
    <row r="192" customFormat="false" ht="15" hidden="false" customHeight="false" outlineLevel="0" collapsed="false">
      <c r="A192" s="29"/>
      <c r="B192" s="30"/>
      <c r="C192" s="30"/>
      <c r="D192" s="30"/>
      <c r="E192" s="16"/>
      <c r="F192" s="30"/>
      <c r="G192" s="30"/>
    </row>
    <row r="193" customFormat="false" ht="15" hidden="false" customHeight="false" outlineLevel="0" collapsed="false">
      <c r="A193" s="29"/>
      <c r="B193" s="30"/>
      <c r="C193" s="30"/>
      <c r="D193" s="30"/>
      <c r="E193" s="16"/>
      <c r="F193" s="30"/>
      <c r="G193" s="30"/>
    </row>
    <row r="194" customFormat="false" ht="15" hidden="false" customHeight="false" outlineLevel="0" collapsed="false">
      <c r="A194" s="29"/>
      <c r="B194" s="30"/>
      <c r="C194" s="30"/>
      <c r="D194" s="30"/>
      <c r="E194" s="16"/>
      <c r="F194" s="30"/>
      <c r="G194" s="30"/>
    </row>
    <row r="195" customFormat="false" ht="15" hidden="false" customHeight="false" outlineLevel="0" collapsed="false">
      <c r="A195" s="29"/>
      <c r="B195" s="30"/>
      <c r="C195" s="30"/>
      <c r="D195" s="30"/>
      <c r="E195" s="16"/>
      <c r="F195" s="30"/>
      <c r="G195" s="30"/>
    </row>
    <row r="196" customFormat="false" ht="15" hidden="false" customHeight="false" outlineLevel="0" collapsed="false">
      <c r="A196" s="29"/>
      <c r="B196" s="30"/>
      <c r="C196" s="30"/>
      <c r="D196" s="30"/>
      <c r="E196" s="16"/>
      <c r="F196" s="30"/>
      <c r="G196" s="30"/>
    </row>
    <row r="197" customFormat="false" ht="15" hidden="false" customHeight="false" outlineLevel="0" collapsed="false">
      <c r="A197" s="29"/>
      <c r="B197" s="30"/>
      <c r="C197" s="30"/>
      <c r="D197" s="30"/>
      <c r="E197" s="16"/>
      <c r="F197" s="30"/>
      <c r="G197" s="30"/>
    </row>
    <row r="198" customFormat="false" ht="15" hidden="false" customHeight="false" outlineLevel="0" collapsed="false">
      <c r="A198" s="29"/>
      <c r="B198" s="30"/>
      <c r="C198" s="30"/>
      <c r="D198" s="30"/>
      <c r="E198" s="16"/>
      <c r="F198" s="30"/>
      <c r="G198" s="30"/>
    </row>
    <row r="199" customFormat="false" ht="15" hidden="false" customHeight="false" outlineLevel="0" collapsed="false">
      <c r="A199" s="29"/>
      <c r="B199" s="30"/>
      <c r="C199" s="30"/>
      <c r="D199" s="30"/>
      <c r="E199" s="16"/>
      <c r="F199" s="30"/>
      <c r="G199" s="30"/>
    </row>
    <row r="200" customFormat="false" ht="15" hidden="false" customHeight="false" outlineLevel="0" collapsed="false">
      <c r="A200" s="29"/>
      <c r="B200" s="30"/>
      <c r="C200" s="30"/>
      <c r="D200" s="30"/>
      <c r="E200" s="16"/>
      <c r="F200" s="30"/>
      <c r="G200" s="30"/>
    </row>
    <row r="201" customFormat="false" ht="15" hidden="false" customHeight="false" outlineLevel="0" collapsed="false">
      <c r="A201" s="29"/>
      <c r="B201" s="30"/>
      <c r="C201" s="30"/>
      <c r="D201" s="30"/>
      <c r="E201" s="16"/>
      <c r="F201" s="30"/>
      <c r="G201" s="30"/>
    </row>
    <row r="202" customFormat="false" ht="15" hidden="false" customHeight="false" outlineLevel="0" collapsed="false">
      <c r="A202" s="29"/>
      <c r="B202" s="30"/>
      <c r="C202" s="30"/>
      <c r="D202" s="30"/>
      <c r="E202" s="16"/>
      <c r="F202" s="30"/>
      <c r="G202" s="30"/>
    </row>
    <row r="203" customFormat="false" ht="15" hidden="false" customHeight="false" outlineLevel="0" collapsed="false">
      <c r="A203" s="29"/>
      <c r="B203" s="30"/>
      <c r="C203" s="30"/>
      <c r="D203" s="30"/>
      <c r="E203" s="16"/>
      <c r="F203" s="30"/>
      <c r="G203" s="30"/>
    </row>
    <row r="204" customFormat="false" ht="15" hidden="false" customHeight="false" outlineLevel="0" collapsed="false">
      <c r="A204" s="29"/>
      <c r="B204" s="30"/>
      <c r="C204" s="30"/>
      <c r="D204" s="30"/>
      <c r="E204" s="16"/>
      <c r="F204" s="30"/>
      <c r="G204" s="30"/>
    </row>
    <row r="205" customFormat="false" ht="15" hidden="false" customHeight="false" outlineLevel="0" collapsed="false">
      <c r="A205" s="29"/>
      <c r="B205" s="30"/>
      <c r="C205" s="30"/>
      <c r="D205" s="30"/>
      <c r="E205" s="16"/>
      <c r="F205" s="30"/>
      <c r="G205" s="30"/>
    </row>
    <row r="206" customFormat="false" ht="15" hidden="false" customHeight="false" outlineLevel="0" collapsed="false">
      <c r="A206" s="29"/>
      <c r="B206" s="30"/>
      <c r="C206" s="30"/>
      <c r="D206" s="30"/>
      <c r="E206" s="16"/>
      <c r="F206" s="30"/>
      <c r="G206" s="30"/>
    </row>
    <row r="207" customFormat="false" ht="15" hidden="false" customHeight="false" outlineLevel="0" collapsed="false">
      <c r="A207" s="29"/>
      <c r="B207" s="30"/>
      <c r="C207" s="30"/>
      <c r="D207" s="30"/>
      <c r="E207" s="16"/>
      <c r="F207" s="30"/>
      <c r="G207" s="30"/>
    </row>
    <row r="208" customFormat="false" ht="15" hidden="false" customHeight="false" outlineLevel="0" collapsed="false">
      <c r="A208" s="29"/>
      <c r="B208" s="30"/>
      <c r="C208" s="30"/>
      <c r="D208" s="30"/>
      <c r="E208" s="16"/>
      <c r="F208" s="30"/>
      <c r="G208" s="30"/>
    </row>
    <row r="209" customFormat="false" ht="15" hidden="false" customHeight="false" outlineLevel="0" collapsed="false">
      <c r="A209" s="29"/>
      <c r="B209" s="30"/>
      <c r="C209" s="30"/>
      <c r="D209" s="30"/>
      <c r="E209" s="16"/>
      <c r="F209" s="30"/>
      <c r="G209" s="30"/>
    </row>
    <row r="210" customFormat="false" ht="15" hidden="false" customHeight="false" outlineLevel="0" collapsed="false">
      <c r="A210" s="29"/>
      <c r="B210" s="30"/>
      <c r="C210" s="30"/>
      <c r="D210" s="30"/>
      <c r="E210" s="16"/>
      <c r="F210" s="30"/>
      <c r="G210" s="30"/>
    </row>
    <row r="211" customFormat="false" ht="15" hidden="false" customHeight="false" outlineLevel="0" collapsed="false">
      <c r="A211" s="29"/>
      <c r="B211" s="30"/>
      <c r="C211" s="30"/>
      <c r="D211" s="30"/>
      <c r="E211" s="16"/>
      <c r="F211" s="30"/>
      <c r="G211" s="30"/>
    </row>
    <row r="212" customFormat="false" ht="15" hidden="false" customHeight="false" outlineLevel="0" collapsed="false">
      <c r="A212" s="29"/>
      <c r="B212" s="30"/>
      <c r="C212" s="30"/>
      <c r="D212" s="30"/>
      <c r="E212" s="16"/>
      <c r="F212" s="30"/>
      <c r="G212" s="30"/>
    </row>
    <row r="213" customFormat="false" ht="15" hidden="false" customHeight="false" outlineLevel="0" collapsed="false">
      <c r="A213" s="29"/>
      <c r="B213" s="30"/>
      <c r="C213" s="30"/>
      <c r="D213" s="30"/>
      <c r="E213" s="16"/>
      <c r="F213" s="30"/>
      <c r="G213" s="30"/>
    </row>
    <row r="214" customFormat="false" ht="15" hidden="false" customHeight="false" outlineLevel="0" collapsed="false">
      <c r="A214" s="29"/>
      <c r="B214" s="30"/>
      <c r="C214" s="30"/>
      <c r="D214" s="30"/>
      <c r="E214" s="16"/>
      <c r="F214" s="30"/>
      <c r="G214" s="30"/>
    </row>
    <row r="215" customFormat="false" ht="15" hidden="false" customHeight="false" outlineLevel="0" collapsed="false">
      <c r="A215" s="29"/>
      <c r="B215" s="30"/>
      <c r="C215" s="30"/>
      <c r="D215" s="30"/>
      <c r="E215" s="16"/>
      <c r="F215" s="30"/>
      <c r="G215" s="30"/>
    </row>
    <row r="216" customFormat="false" ht="15" hidden="false" customHeight="false" outlineLevel="0" collapsed="false">
      <c r="A216" s="29"/>
      <c r="B216" s="30"/>
      <c r="C216" s="30"/>
      <c r="D216" s="30"/>
      <c r="E216" s="16"/>
      <c r="F216" s="30"/>
      <c r="G216" s="30"/>
    </row>
    <row r="217" customFormat="false" ht="15" hidden="false" customHeight="false" outlineLevel="0" collapsed="false">
      <c r="A217" s="29"/>
      <c r="B217" s="30"/>
      <c r="C217" s="30"/>
      <c r="D217" s="30"/>
      <c r="E217" s="16"/>
      <c r="F217" s="30"/>
      <c r="G217" s="30"/>
    </row>
    <row r="218" customFormat="false" ht="15" hidden="false" customHeight="false" outlineLevel="0" collapsed="false">
      <c r="A218" s="29"/>
      <c r="B218" s="30"/>
      <c r="C218" s="30"/>
      <c r="D218" s="30"/>
      <c r="E218" s="16"/>
      <c r="F218" s="30"/>
      <c r="G218" s="30"/>
    </row>
    <row r="219" customFormat="false" ht="15" hidden="false" customHeight="false" outlineLevel="0" collapsed="false">
      <c r="A219" s="29"/>
      <c r="B219" s="30"/>
      <c r="C219" s="30"/>
      <c r="D219" s="30"/>
      <c r="E219" s="16"/>
      <c r="F219" s="30"/>
      <c r="G219" s="30"/>
    </row>
    <row r="220" customFormat="false" ht="15" hidden="false" customHeight="false" outlineLevel="0" collapsed="false">
      <c r="A220" s="29"/>
      <c r="B220" s="30"/>
      <c r="C220" s="30"/>
      <c r="D220" s="30"/>
      <c r="E220" s="16"/>
      <c r="F220" s="30"/>
      <c r="G220" s="30"/>
    </row>
    <row r="221" customFormat="false" ht="15" hidden="false" customHeight="false" outlineLevel="0" collapsed="false">
      <c r="A221" s="29"/>
      <c r="B221" s="30"/>
      <c r="C221" s="30"/>
      <c r="D221" s="30"/>
      <c r="E221" s="16"/>
      <c r="F221" s="30"/>
      <c r="G221" s="30"/>
    </row>
    <row r="222" customFormat="false" ht="15" hidden="false" customHeight="false" outlineLevel="0" collapsed="false">
      <c r="A222" s="29"/>
      <c r="B222" s="30"/>
      <c r="C222" s="30"/>
      <c r="D222" s="30"/>
      <c r="E222" s="16"/>
      <c r="F222" s="30"/>
      <c r="G222" s="30"/>
    </row>
    <row r="223" customFormat="false" ht="15" hidden="false" customHeight="false" outlineLevel="0" collapsed="false">
      <c r="A223" s="29"/>
      <c r="B223" s="30"/>
      <c r="C223" s="30"/>
      <c r="D223" s="30"/>
      <c r="E223" s="16"/>
      <c r="F223" s="30"/>
      <c r="G223" s="30"/>
    </row>
    <row r="224" customFormat="false" ht="15" hidden="false" customHeight="false" outlineLevel="0" collapsed="false">
      <c r="A224" s="29"/>
      <c r="B224" s="30"/>
      <c r="C224" s="30"/>
      <c r="D224" s="30"/>
      <c r="E224" s="16"/>
      <c r="F224" s="30"/>
      <c r="G224" s="30"/>
    </row>
    <row r="225" customFormat="false" ht="15" hidden="false" customHeight="false" outlineLevel="0" collapsed="false">
      <c r="A225" s="29"/>
      <c r="B225" s="30"/>
      <c r="C225" s="30"/>
      <c r="D225" s="30"/>
      <c r="E225" s="16"/>
      <c r="F225" s="30"/>
      <c r="G225" s="30"/>
    </row>
    <row r="226" customFormat="false" ht="15" hidden="false" customHeight="false" outlineLevel="0" collapsed="false">
      <c r="A226" s="29"/>
      <c r="B226" s="30"/>
      <c r="C226" s="30"/>
      <c r="D226" s="30"/>
      <c r="E226" s="16"/>
      <c r="F226" s="30"/>
      <c r="G226" s="30"/>
    </row>
    <row r="227" customFormat="false" ht="15" hidden="false" customHeight="false" outlineLevel="0" collapsed="false">
      <c r="A227" s="29"/>
      <c r="B227" s="30"/>
      <c r="C227" s="30"/>
      <c r="D227" s="30"/>
      <c r="E227" s="16"/>
      <c r="F227" s="30"/>
      <c r="G227" s="30"/>
    </row>
    <row r="228" customFormat="false" ht="15" hidden="false" customHeight="false" outlineLevel="0" collapsed="false">
      <c r="A228" s="29"/>
      <c r="B228" s="30"/>
      <c r="C228" s="30"/>
      <c r="D228" s="30"/>
      <c r="E228" s="16"/>
      <c r="F228" s="30"/>
      <c r="G228" s="30"/>
    </row>
    <row r="229" customFormat="false" ht="15" hidden="false" customHeight="false" outlineLevel="0" collapsed="false">
      <c r="A229" s="29"/>
      <c r="B229" s="30"/>
      <c r="C229" s="30"/>
      <c r="D229" s="30"/>
      <c r="E229" s="16"/>
      <c r="F229" s="30"/>
      <c r="G229" s="30"/>
    </row>
    <row r="230" customFormat="false" ht="15" hidden="false" customHeight="false" outlineLevel="0" collapsed="false">
      <c r="A230" s="29"/>
      <c r="B230" s="30"/>
      <c r="C230" s="30"/>
      <c r="D230" s="30"/>
      <c r="E230" s="16"/>
      <c r="F230" s="30"/>
      <c r="G230" s="30"/>
    </row>
    <row r="231" customFormat="false" ht="15" hidden="false" customHeight="false" outlineLevel="0" collapsed="false">
      <c r="A231" s="29"/>
      <c r="B231" s="30"/>
      <c r="C231" s="30"/>
      <c r="D231" s="30"/>
      <c r="E231" s="16"/>
      <c r="F231" s="30"/>
      <c r="G231" s="30"/>
    </row>
    <row r="232" customFormat="false" ht="15" hidden="false" customHeight="false" outlineLevel="0" collapsed="false">
      <c r="A232" s="29"/>
      <c r="B232" s="30"/>
      <c r="C232" s="30"/>
      <c r="D232" s="30"/>
      <c r="E232" s="16"/>
      <c r="F232" s="30"/>
      <c r="G232" s="30"/>
    </row>
    <row r="233" customFormat="false" ht="15" hidden="false" customHeight="false" outlineLevel="0" collapsed="false">
      <c r="A233" s="29"/>
      <c r="B233" s="30"/>
      <c r="C233" s="30"/>
      <c r="D233" s="30"/>
      <c r="E233" s="16"/>
      <c r="F233" s="30"/>
      <c r="G233" s="30"/>
    </row>
    <row r="234" customFormat="false" ht="15" hidden="false" customHeight="false" outlineLevel="0" collapsed="false">
      <c r="A234" s="29"/>
      <c r="B234" s="30"/>
      <c r="C234" s="30"/>
      <c r="D234" s="30"/>
      <c r="E234" s="16"/>
      <c r="F234" s="30"/>
      <c r="G234" s="30"/>
    </row>
    <row r="235" customFormat="false" ht="15" hidden="false" customHeight="false" outlineLevel="0" collapsed="false">
      <c r="A235" s="29"/>
      <c r="B235" s="30"/>
      <c r="C235" s="30"/>
      <c r="D235" s="30"/>
      <c r="E235" s="16"/>
      <c r="F235" s="30"/>
      <c r="G235" s="30"/>
    </row>
    <row r="236" customFormat="false" ht="15" hidden="false" customHeight="false" outlineLevel="0" collapsed="false">
      <c r="A236" s="29"/>
      <c r="B236" s="30"/>
      <c r="C236" s="30"/>
      <c r="D236" s="30"/>
      <c r="E236" s="16"/>
      <c r="F236" s="30"/>
      <c r="G236" s="30"/>
    </row>
    <row r="237" customFormat="false" ht="15" hidden="false" customHeight="false" outlineLevel="0" collapsed="false">
      <c r="A237" s="29"/>
      <c r="B237" s="30"/>
      <c r="C237" s="30"/>
      <c r="D237" s="30"/>
      <c r="E237" s="16"/>
      <c r="F237" s="30"/>
      <c r="G237" s="30"/>
    </row>
    <row r="238" customFormat="false" ht="15" hidden="false" customHeight="false" outlineLevel="0" collapsed="false">
      <c r="A238" s="29"/>
      <c r="B238" s="30"/>
      <c r="C238" s="30"/>
      <c r="D238" s="30"/>
      <c r="E238" s="16"/>
      <c r="F238" s="30"/>
      <c r="G238" s="30"/>
    </row>
    <row r="239" customFormat="false" ht="15" hidden="false" customHeight="false" outlineLevel="0" collapsed="false">
      <c r="A239" s="29"/>
      <c r="B239" s="30"/>
      <c r="C239" s="30"/>
      <c r="D239" s="30"/>
      <c r="E239" s="16"/>
      <c r="F239" s="30"/>
      <c r="G239" s="30"/>
    </row>
    <row r="240" customFormat="false" ht="15" hidden="false" customHeight="false" outlineLevel="0" collapsed="false">
      <c r="A240" s="29"/>
      <c r="B240" s="30"/>
      <c r="C240" s="30"/>
      <c r="D240" s="30"/>
      <c r="E240" s="16"/>
      <c r="F240" s="30"/>
      <c r="G240" s="30"/>
    </row>
    <row r="241" customFormat="false" ht="15" hidden="false" customHeight="false" outlineLevel="0" collapsed="false">
      <c r="A241" s="29"/>
      <c r="B241" s="30"/>
      <c r="C241" s="30"/>
      <c r="D241" s="30"/>
      <c r="E241" s="16"/>
      <c r="F241" s="30"/>
      <c r="G241" s="30"/>
    </row>
    <row r="242" customFormat="false" ht="15" hidden="false" customHeight="false" outlineLevel="0" collapsed="false">
      <c r="A242" s="29"/>
      <c r="B242" s="30"/>
      <c r="C242" s="30"/>
      <c r="D242" s="30"/>
      <c r="E242" s="16"/>
      <c r="F242" s="30"/>
      <c r="G242" s="30"/>
    </row>
    <row r="243" customFormat="false" ht="15" hidden="false" customHeight="false" outlineLevel="0" collapsed="false">
      <c r="A243" s="29"/>
      <c r="B243" s="30"/>
      <c r="C243" s="30"/>
      <c r="D243" s="30"/>
      <c r="E243" s="16"/>
      <c r="F243" s="30"/>
      <c r="G243" s="30"/>
    </row>
    <row r="244" customFormat="false" ht="15" hidden="false" customHeight="false" outlineLevel="0" collapsed="false">
      <c r="A244" s="29"/>
      <c r="B244" s="30"/>
      <c r="C244" s="30"/>
      <c r="D244" s="30"/>
      <c r="E244" s="16"/>
      <c r="F244" s="30"/>
      <c r="G244" s="30"/>
    </row>
    <row r="245" customFormat="false" ht="15" hidden="false" customHeight="false" outlineLevel="0" collapsed="false">
      <c r="A245" s="29"/>
      <c r="B245" s="30"/>
      <c r="C245" s="30"/>
      <c r="D245" s="30"/>
      <c r="E245" s="16"/>
      <c r="F245" s="30"/>
      <c r="G245" s="30"/>
    </row>
    <row r="246" customFormat="false" ht="15" hidden="false" customHeight="false" outlineLevel="0" collapsed="false">
      <c r="A246" s="29"/>
      <c r="B246" s="30"/>
      <c r="C246" s="30"/>
      <c r="D246" s="30"/>
      <c r="E246" s="16"/>
      <c r="F246" s="30"/>
      <c r="G246" s="30"/>
    </row>
    <row r="247" customFormat="false" ht="15" hidden="false" customHeight="false" outlineLevel="0" collapsed="false">
      <c r="A247" s="29"/>
      <c r="B247" s="30"/>
      <c r="C247" s="30"/>
      <c r="D247" s="30"/>
      <c r="E247" s="16"/>
      <c r="F247" s="30"/>
      <c r="G247" s="30"/>
    </row>
    <row r="248" customFormat="false" ht="15" hidden="false" customHeight="false" outlineLevel="0" collapsed="false">
      <c r="A248" s="29"/>
      <c r="B248" s="30"/>
      <c r="C248" s="30"/>
      <c r="D248" s="30"/>
      <c r="E248" s="16"/>
      <c r="F248" s="30"/>
      <c r="G248" s="30"/>
    </row>
    <row r="249" customFormat="false" ht="15" hidden="false" customHeight="false" outlineLevel="0" collapsed="false">
      <c r="A249" s="29"/>
      <c r="B249" s="30"/>
      <c r="C249" s="30"/>
      <c r="D249" s="30"/>
      <c r="E249" s="16"/>
      <c r="F249" s="30"/>
      <c r="G249" s="30"/>
    </row>
    <row r="250" customFormat="false" ht="15" hidden="false" customHeight="false" outlineLevel="0" collapsed="false">
      <c r="A250" s="29"/>
      <c r="B250" s="30"/>
      <c r="C250" s="30"/>
      <c r="D250" s="30"/>
      <c r="E250" s="16"/>
      <c r="F250" s="30"/>
      <c r="G250" s="30"/>
    </row>
    <row r="251" customFormat="false" ht="15" hidden="false" customHeight="false" outlineLevel="0" collapsed="false">
      <c r="A251" s="29"/>
      <c r="B251" s="30"/>
      <c r="C251" s="30"/>
      <c r="D251" s="30"/>
      <c r="E251" s="16"/>
      <c r="F251" s="30"/>
      <c r="G251" s="30"/>
    </row>
    <row r="252" customFormat="false" ht="15" hidden="false" customHeight="false" outlineLevel="0" collapsed="false">
      <c r="A252" s="29"/>
      <c r="B252" s="30"/>
      <c r="C252" s="30"/>
      <c r="D252" s="30"/>
      <c r="E252" s="16"/>
      <c r="F252" s="30"/>
      <c r="G252" s="30"/>
    </row>
    <row r="253" customFormat="false" ht="15" hidden="false" customHeight="false" outlineLevel="0" collapsed="false">
      <c r="A253" s="29"/>
      <c r="B253" s="30"/>
      <c r="C253" s="30"/>
      <c r="D253" s="30"/>
      <c r="E253" s="16"/>
      <c r="F253" s="30"/>
      <c r="G253" s="30"/>
    </row>
    <row r="254" customFormat="false" ht="15" hidden="false" customHeight="false" outlineLevel="0" collapsed="false">
      <c r="A254" s="29"/>
      <c r="B254" s="30"/>
      <c r="C254" s="30"/>
      <c r="D254" s="30"/>
      <c r="E254" s="16"/>
      <c r="F254" s="30"/>
      <c r="G254" s="30"/>
    </row>
    <row r="255" customFormat="false" ht="15" hidden="false" customHeight="false" outlineLevel="0" collapsed="false">
      <c r="A255" s="29"/>
      <c r="B255" s="30"/>
      <c r="C255" s="30"/>
      <c r="D255" s="30"/>
      <c r="E255" s="16"/>
      <c r="F255" s="30"/>
      <c r="G255" s="30"/>
    </row>
    <row r="256" customFormat="false" ht="15" hidden="false" customHeight="false" outlineLevel="0" collapsed="false">
      <c r="A256" s="29"/>
      <c r="B256" s="30"/>
      <c r="C256" s="30"/>
      <c r="D256" s="30"/>
      <c r="E256" s="16"/>
      <c r="F256" s="30"/>
      <c r="G256" s="30"/>
    </row>
    <row r="257" customFormat="false" ht="15" hidden="false" customHeight="false" outlineLevel="0" collapsed="false">
      <c r="A257" s="29"/>
      <c r="B257" s="30"/>
      <c r="C257" s="30"/>
      <c r="D257" s="30"/>
      <c r="E257" s="16"/>
      <c r="F257" s="30"/>
      <c r="G257" s="30"/>
    </row>
    <row r="258" customFormat="false" ht="15" hidden="false" customHeight="false" outlineLevel="0" collapsed="false">
      <c r="A258" s="29"/>
      <c r="B258" s="30"/>
      <c r="C258" s="30"/>
      <c r="D258" s="30"/>
      <c r="E258" s="16"/>
      <c r="F258" s="30"/>
      <c r="G258" s="30"/>
    </row>
    <row r="259" customFormat="false" ht="15" hidden="false" customHeight="false" outlineLevel="0" collapsed="false">
      <c r="A259" s="29"/>
      <c r="B259" s="30"/>
      <c r="C259" s="30"/>
      <c r="D259" s="30"/>
      <c r="E259" s="16"/>
      <c r="F259" s="30"/>
      <c r="G259" s="30"/>
    </row>
    <row r="260" customFormat="false" ht="15" hidden="false" customHeight="false" outlineLevel="0" collapsed="false">
      <c r="A260" s="29"/>
      <c r="B260" s="30"/>
      <c r="C260" s="30"/>
      <c r="D260" s="30"/>
      <c r="E260" s="16"/>
      <c r="F260" s="30"/>
      <c r="G260" s="30"/>
    </row>
    <row r="261" customFormat="false" ht="15" hidden="false" customHeight="false" outlineLevel="0" collapsed="false">
      <c r="A261" s="29"/>
      <c r="B261" s="30"/>
      <c r="C261" s="30"/>
      <c r="D261" s="30"/>
      <c r="E261" s="16"/>
      <c r="F261" s="30"/>
      <c r="G261" s="30"/>
    </row>
    <row r="262" customFormat="false" ht="15" hidden="false" customHeight="false" outlineLevel="0" collapsed="false">
      <c r="A262" s="29"/>
      <c r="B262" s="30"/>
      <c r="C262" s="30"/>
      <c r="D262" s="30"/>
      <c r="E262" s="16"/>
      <c r="F262" s="30"/>
      <c r="G262" s="30"/>
    </row>
    <row r="263" customFormat="false" ht="15" hidden="false" customHeight="false" outlineLevel="0" collapsed="false">
      <c r="A263" s="29"/>
      <c r="B263" s="30"/>
      <c r="C263" s="30"/>
      <c r="D263" s="30"/>
      <c r="E263" s="16"/>
      <c r="F263" s="30"/>
      <c r="G263" s="30"/>
    </row>
    <row r="264" customFormat="false" ht="15" hidden="false" customHeight="false" outlineLevel="0" collapsed="false">
      <c r="A264" s="29"/>
      <c r="B264" s="30"/>
      <c r="C264" s="30"/>
      <c r="D264" s="30"/>
      <c r="E264" s="16"/>
      <c r="F264" s="30"/>
      <c r="G264" s="30"/>
    </row>
    <row r="265" customFormat="false" ht="15" hidden="false" customHeight="false" outlineLevel="0" collapsed="false">
      <c r="A265" s="29"/>
      <c r="B265" s="30"/>
      <c r="C265" s="30"/>
      <c r="D265" s="30"/>
      <c r="E265" s="16"/>
      <c r="F265" s="30"/>
      <c r="G265" s="30"/>
    </row>
    <row r="266" customFormat="false" ht="15" hidden="false" customHeight="false" outlineLevel="0" collapsed="false">
      <c r="A266" s="29"/>
      <c r="B266" s="30"/>
      <c r="C266" s="30"/>
      <c r="D266" s="30"/>
      <c r="E266" s="16"/>
      <c r="F266" s="30"/>
      <c r="G266" s="30"/>
    </row>
    <row r="267" customFormat="false" ht="15" hidden="false" customHeight="false" outlineLevel="0" collapsed="false">
      <c r="A267" s="29"/>
      <c r="B267" s="30"/>
      <c r="C267" s="30"/>
      <c r="D267" s="30"/>
      <c r="E267" s="16"/>
      <c r="F267" s="30"/>
      <c r="G267" s="30"/>
    </row>
    <row r="268" customFormat="false" ht="15" hidden="false" customHeight="false" outlineLevel="0" collapsed="false">
      <c r="A268" s="29"/>
      <c r="B268" s="30"/>
      <c r="C268" s="30"/>
      <c r="D268" s="30"/>
      <c r="E268" s="16"/>
      <c r="F268" s="30"/>
      <c r="G268" s="30"/>
    </row>
    <row r="269" customFormat="false" ht="15" hidden="false" customHeight="false" outlineLevel="0" collapsed="false">
      <c r="A269" s="29"/>
      <c r="B269" s="30"/>
      <c r="C269" s="30"/>
      <c r="D269" s="30"/>
      <c r="E269" s="16"/>
      <c r="F269" s="30"/>
      <c r="G269" s="30"/>
    </row>
    <row r="270" customFormat="false" ht="15" hidden="false" customHeight="false" outlineLevel="0" collapsed="false">
      <c r="A270" s="29"/>
      <c r="B270" s="30"/>
      <c r="C270" s="30"/>
      <c r="D270" s="30"/>
      <c r="E270" s="16"/>
      <c r="F270" s="30"/>
      <c r="G270" s="30"/>
    </row>
    <row r="271" customFormat="false" ht="15" hidden="false" customHeight="false" outlineLevel="0" collapsed="false">
      <c r="A271" s="29"/>
      <c r="B271" s="30"/>
      <c r="C271" s="30"/>
      <c r="D271" s="30"/>
      <c r="E271" s="16"/>
      <c r="F271" s="30"/>
      <c r="G271" s="30"/>
    </row>
    <row r="272" customFormat="false" ht="15" hidden="false" customHeight="false" outlineLevel="0" collapsed="false">
      <c r="A272" s="29"/>
      <c r="B272" s="30"/>
      <c r="C272" s="30"/>
      <c r="D272" s="30"/>
      <c r="E272" s="16"/>
      <c r="F272" s="30"/>
      <c r="G272" s="30"/>
    </row>
    <row r="273" customFormat="false" ht="15" hidden="false" customHeight="false" outlineLevel="0" collapsed="false">
      <c r="A273" s="29"/>
      <c r="B273" s="30"/>
      <c r="C273" s="30"/>
      <c r="D273" s="30"/>
      <c r="E273" s="16"/>
      <c r="F273" s="30"/>
      <c r="G273" s="30"/>
    </row>
    <row r="274" customFormat="false" ht="15" hidden="false" customHeight="false" outlineLevel="0" collapsed="false">
      <c r="A274" s="29"/>
      <c r="B274" s="30"/>
      <c r="C274" s="30"/>
      <c r="D274" s="30"/>
      <c r="E274" s="16"/>
      <c r="F274" s="30"/>
      <c r="G274" s="30"/>
    </row>
    <row r="275" customFormat="false" ht="15" hidden="false" customHeight="false" outlineLevel="0" collapsed="false">
      <c r="A275" s="29"/>
      <c r="B275" s="30"/>
      <c r="C275" s="30"/>
      <c r="D275" s="30"/>
      <c r="E275" s="16"/>
      <c r="F275" s="30"/>
      <c r="G275" s="30"/>
    </row>
    <row r="276" customFormat="false" ht="15" hidden="false" customHeight="false" outlineLevel="0" collapsed="false">
      <c r="A276" s="29"/>
      <c r="B276" s="30"/>
      <c r="C276" s="30"/>
      <c r="D276" s="30"/>
      <c r="E276" s="16"/>
      <c r="F276" s="30"/>
      <c r="G276" s="30"/>
    </row>
    <row r="277" customFormat="false" ht="15" hidden="false" customHeight="false" outlineLevel="0" collapsed="false">
      <c r="A277" s="29"/>
      <c r="B277" s="30"/>
      <c r="C277" s="30"/>
      <c r="D277" s="30"/>
      <c r="E277" s="16"/>
      <c r="F277" s="30"/>
      <c r="G277" s="30"/>
    </row>
    <row r="278" customFormat="false" ht="15" hidden="false" customHeight="false" outlineLevel="0" collapsed="false">
      <c r="A278" s="29"/>
      <c r="B278" s="30"/>
      <c r="C278" s="30"/>
      <c r="D278" s="30"/>
      <c r="E278" s="16"/>
      <c r="F278" s="30"/>
      <c r="G278" s="30"/>
    </row>
    <row r="279" customFormat="false" ht="15" hidden="false" customHeight="false" outlineLevel="0" collapsed="false">
      <c r="A279" s="29"/>
      <c r="B279" s="30"/>
      <c r="C279" s="30"/>
      <c r="D279" s="30"/>
      <c r="E279" s="16"/>
      <c r="F279" s="30"/>
      <c r="G279" s="30"/>
    </row>
    <row r="280" customFormat="false" ht="15" hidden="false" customHeight="false" outlineLevel="0" collapsed="false">
      <c r="A280" s="29"/>
      <c r="B280" s="30"/>
      <c r="C280" s="30"/>
      <c r="D280" s="30"/>
      <c r="E280" s="16"/>
      <c r="F280" s="30"/>
      <c r="G280" s="30"/>
    </row>
    <row r="281" customFormat="false" ht="15" hidden="false" customHeight="false" outlineLevel="0" collapsed="false">
      <c r="A281" s="29"/>
      <c r="B281" s="30"/>
      <c r="C281" s="30"/>
      <c r="D281" s="30"/>
      <c r="E281" s="16"/>
      <c r="F281" s="30"/>
      <c r="G281" s="30"/>
    </row>
    <row r="282" customFormat="false" ht="15" hidden="false" customHeight="false" outlineLevel="0" collapsed="false">
      <c r="A282" s="29"/>
      <c r="B282" s="30"/>
      <c r="C282" s="30"/>
      <c r="D282" s="30"/>
      <c r="E282" s="16"/>
      <c r="F282" s="30"/>
      <c r="G282" s="30"/>
    </row>
    <row r="283" customFormat="false" ht="15" hidden="false" customHeight="false" outlineLevel="0" collapsed="false">
      <c r="A283" s="29"/>
      <c r="B283" s="30"/>
      <c r="C283" s="30"/>
      <c r="D283" s="30"/>
      <c r="E283" s="16"/>
      <c r="F283" s="30"/>
      <c r="G283" s="30"/>
    </row>
    <row r="284" customFormat="false" ht="15" hidden="false" customHeight="false" outlineLevel="0" collapsed="false">
      <c r="A284" s="29"/>
      <c r="B284" s="30"/>
      <c r="C284" s="30"/>
      <c r="D284" s="30"/>
      <c r="E284" s="16"/>
      <c r="F284" s="30"/>
      <c r="G284" s="30"/>
    </row>
    <row r="285" customFormat="false" ht="15" hidden="false" customHeight="false" outlineLevel="0" collapsed="false">
      <c r="A285" s="29"/>
      <c r="B285" s="30"/>
      <c r="C285" s="30"/>
      <c r="D285" s="30"/>
      <c r="E285" s="16"/>
      <c r="F285" s="30"/>
      <c r="G285" s="30"/>
    </row>
    <row r="286" customFormat="false" ht="15" hidden="false" customHeight="false" outlineLevel="0" collapsed="false">
      <c r="A286" s="29"/>
      <c r="B286" s="30"/>
      <c r="C286" s="30"/>
      <c r="D286" s="30"/>
      <c r="E286" s="16"/>
      <c r="F286" s="30"/>
      <c r="G286" s="30"/>
    </row>
    <row r="287" customFormat="false" ht="15" hidden="false" customHeight="false" outlineLevel="0" collapsed="false">
      <c r="A287" s="29"/>
      <c r="B287" s="30"/>
      <c r="C287" s="30"/>
      <c r="D287" s="30"/>
      <c r="E287" s="16"/>
      <c r="F287" s="30"/>
      <c r="G287" s="30"/>
    </row>
    <row r="288" customFormat="false" ht="15" hidden="false" customHeight="false" outlineLevel="0" collapsed="false">
      <c r="A288" s="29"/>
      <c r="B288" s="30"/>
      <c r="C288" s="30"/>
      <c r="D288" s="30"/>
      <c r="E288" s="16"/>
      <c r="F288" s="30"/>
      <c r="G288" s="30"/>
    </row>
    <row r="289" customFormat="false" ht="15" hidden="false" customHeight="false" outlineLevel="0" collapsed="false">
      <c r="A289" s="29"/>
      <c r="B289" s="30"/>
      <c r="C289" s="30"/>
      <c r="D289" s="30"/>
      <c r="E289" s="16"/>
      <c r="F289" s="30"/>
      <c r="G289" s="30"/>
    </row>
    <row r="290" customFormat="false" ht="15" hidden="false" customHeight="false" outlineLevel="0" collapsed="false">
      <c r="A290" s="29"/>
      <c r="B290" s="30"/>
      <c r="C290" s="30"/>
      <c r="D290" s="30"/>
      <c r="E290" s="16"/>
      <c r="F290" s="30"/>
      <c r="G290" s="30"/>
    </row>
    <row r="291" customFormat="false" ht="15" hidden="false" customHeight="false" outlineLevel="0" collapsed="false">
      <c r="A291" s="29"/>
      <c r="B291" s="30"/>
      <c r="C291" s="30"/>
      <c r="D291" s="30"/>
      <c r="E291" s="16"/>
      <c r="F291" s="30"/>
      <c r="G291" s="30"/>
    </row>
    <row r="292" customFormat="false" ht="15" hidden="false" customHeight="false" outlineLevel="0" collapsed="false">
      <c r="A292" s="29"/>
      <c r="B292" s="30"/>
      <c r="C292" s="30"/>
      <c r="D292" s="30"/>
      <c r="E292" s="16"/>
      <c r="F292" s="30"/>
      <c r="G292" s="30"/>
    </row>
    <row r="293" customFormat="false" ht="15" hidden="false" customHeight="false" outlineLevel="0" collapsed="false">
      <c r="A293" s="29"/>
      <c r="B293" s="30"/>
      <c r="C293" s="30"/>
      <c r="D293" s="30"/>
      <c r="E293" s="16"/>
      <c r="F293" s="30"/>
      <c r="G293" s="30"/>
    </row>
    <row r="294" customFormat="false" ht="15" hidden="false" customHeight="false" outlineLevel="0" collapsed="false">
      <c r="A294" s="29"/>
      <c r="B294" s="30"/>
      <c r="C294" s="30"/>
      <c r="D294" s="30"/>
      <c r="E294" s="16"/>
      <c r="F294" s="30"/>
      <c r="G294" s="30"/>
    </row>
    <row r="295" customFormat="false" ht="15" hidden="false" customHeight="false" outlineLevel="0" collapsed="false">
      <c r="A295" s="29"/>
      <c r="B295" s="30"/>
      <c r="C295" s="30"/>
      <c r="D295" s="30"/>
      <c r="E295" s="16"/>
      <c r="F295" s="30"/>
      <c r="G295" s="30"/>
    </row>
    <row r="296" customFormat="false" ht="15" hidden="false" customHeight="false" outlineLevel="0" collapsed="false">
      <c r="A296" s="29"/>
      <c r="B296" s="30"/>
      <c r="C296" s="30"/>
      <c r="D296" s="30"/>
      <c r="E296" s="16"/>
      <c r="F296" s="30"/>
      <c r="G296" s="30"/>
    </row>
    <row r="297" customFormat="false" ht="15" hidden="false" customHeight="false" outlineLevel="0" collapsed="false">
      <c r="A297" s="29"/>
      <c r="B297" s="30"/>
      <c r="C297" s="30"/>
      <c r="D297" s="30"/>
      <c r="E297" s="16"/>
      <c r="F297" s="30"/>
      <c r="G297" s="30"/>
    </row>
    <row r="298" customFormat="false" ht="15" hidden="false" customHeight="false" outlineLevel="0" collapsed="false">
      <c r="A298" s="29"/>
      <c r="B298" s="30"/>
      <c r="C298" s="30"/>
      <c r="D298" s="30"/>
      <c r="E298" s="16"/>
      <c r="F298" s="30"/>
      <c r="G298" s="30"/>
    </row>
    <row r="299" customFormat="false" ht="15" hidden="false" customHeight="false" outlineLevel="0" collapsed="false">
      <c r="A299" s="29"/>
      <c r="B299" s="30"/>
      <c r="C299" s="30"/>
      <c r="D299" s="30"/>
      <c r="E299" s="16"/>
      <c r="F299" s="30"/>
      <c r="G299" s="30"/>
    </row>
    <row r="300" customFormat="false" ht="15" hidden="false" customHeight="false" outlineLevel="0" collapsed="false">
      <c r="A300" s="29"/>
      <c r="B300" s="30"/>
      <c r="C300" s="30"/>
      <c r="D300" s="30"/>
      <c r="E300" s="16"/>
      <c r="F300" s="30"/>
      <c r="G300" s="30"/>
    </row>
    <row r="301" customFormat="false" ht="15" hidden="false" customHeight="false" outlineLevel="0" collapsed="false">
      <c r="A301" s="29"/>
      <c r="B301" s="30"/>
      <c r="C301" s="30"/>
      <c r="D301" s="30"/>
      <c r="E301" s="16"/>
      <c r="F301" s="30"/>
      <c r="G301" s="30"/>
    </row>
    <row r="302" customFormat="false" ht="15" hidden="false" customHeight="false" outlineLevel="0" collapsed="false">
      <c r="A302" s="29"/>
      <c r="B302" s="30"/>
      <c r="C302" s="30"/>
      <c r="D302" s="30"/>
      <c r="E302" s="16"/>
      <c r="F302" s="30"/>
      <c r="G302" s="30"/>
    </row>
    <row r="303" customFormat="false" ht="15" hidden="false" customHeight="false" outlineLevel="0" collapsed="false">
      <c r="A303" s="29"/>
      <c r="B303" s="30"/>
      <c r="C303" s="30"/>
      <c r="D303" s="30"/>
      <c r="E303" s="16"/>
      <c r="F303" s="30"/>
      <c r="G303" s="30"/>
    </row>
    <row r="304" customFormat="false" ht="15" hidden="false" customHeight="false" outlineLevel="0" collapsed="false">
      <c r="A304" s="29"/>
      <c r="B304" s="30"/>
      <c r="C304" s="30"/>
      <c r="D304" s="30"/>
      <c r="E304" s="16"/>
      <c r="F304" s="30"/>
      <c r="G304" s="30"/>
    </row>
    <row r="305" customFormat="false" ht="15" hidden="false" customHeight="false" outlineLevel="0" collapsed="false">
      <c r="A305" s="29"/>
      <c r="B305" s="30"/>
      <c r="C305" s="30"/>
      <c r="D305" s="30"/>
      <c r="E305" s="16"/>
      <c r="F305" s="30"/>
      <c r="G305" s="30"/>
    </row>
    <row r="306" customFormat="false" ht="15" hidden="false" customHeight="false" outlineLevel="0" collapsed="false">
      <c r="A306" s="29"/>
      <c r="B306" s="30"/>
      <c r="C306" s="30"/>
      <c r="D306" s="30"/>
      <c r="E306" s="16"/>
      <c r="F306" s="30"/>
      <c r="G306" s="30"/>
    </row>
    <row r="307" customFormat="false" ht="15" hidden="false" customHeight="false" outlineLevel="0" collapsed="false">
      <c r="A307" s="29"/>
      <c r="B307" s="30"/>
      <c r="C307" s="30"/>
      <c r="D307" s="30"/>
      <c r="E307" s="16"/>
      <c r="F307" s="30"/>
      <c r="G307" s="30"/>
    </row>
    <row r="308" customFormat="false" ht="15" hidden="false" customHeight="false" outlineLevel="0" collapsed="false">
      <c r="A308" s="29"/>
      <c r="B308" s="30"/>
      <c r="C308" s="30"/>
      <c r="D308" s="30"/>
      <c r="E308" s="16"/>
      <c r="F308" s="30"/>
      <c r="G308" s="30"/>
    </row>
    <row r="309" customFormat="false" ht="15" hidden="false" customHeight="false" outlineLevel="0" collapsed="false">
      <c r="A309" s="29"/>
      <c r="B309" s="30"/>
      <c r="C309" s="30"/>
      <c r="D309" s="30"/>
      <c r="E309" s="16"/>
      <c r="F309" s="30"/>
      <c r="G309" s="30"/>
    </row>
    <row r="310" customFormat="false" ht="15" hidden="false" customHeight="false" outlineLevel="0" collapsed="false">
      <c r="A310" s="29"/>
      <c r="B310" s="30"/>
      <c r="C310" s="30"/>
      <c r="D310" s="30"/>
      <c r="E310" s="16"/>
      <c r="F310" s="30"/>
      <c r="G310" s="30"/>
    </row>
    <row r="311" customFormat="false" ht="15" hidden="false" customHeight="false" outlineLevel="0" collapsed="false">
      <c r="A311" s="29"/>
      <c r="B311" s="30"/>
      <c r="C311" s="30"/>
      <c r="D311" s="30"/>
      <c r="E311" s="16"/>
      <c r="F311" s="30"/>
      <c r="G311" s="30"/>
    </row>
    <row r="312" customFormat="false" ht="15" hidden="false" customHeight="false" outlineLevel="0" collapsed="false">
      <c r="A312" s="29"/>
      <c r="B312" s="30"/>
      <c r="C312" s="30"/>
      <c r="D312" s="30"/>
      <c r="E312" s="16"/>
      <c r="F312" s="30"/>
      <c r="G312" s="30"/>
    </row>
    <row r="313" customFormat="false" ht="15" hidden="false" customHeight="false" outlineLevel="0" collapsed="false">
      <c r="A313" s="29"/>
      <c r="B313" s="30"/>
      <c r="C313" s="30"/>
      <c r="D313" s="30"/>
      <c r="E313" s="16"/>
      <c r="F313" s="30"/>
      <c r="G313" s="30"/>
    </row>
    <row r="314" customFormat="false" ht="15" hidden="false" customHeight="false" outlineLevel="0" collapsed="false">
      <c r="A314" s="29"/>
      <c r="B314" s="30"/>
      <c r="C314" s="30"/>
      <c r="D314" s="30"/>
      <c r="E314" s="16"/>
      <c r="F314" s="30"/>
      <c r="G314" s="30"/>
    </row>
    <row r="315" customFormat="false" ht="15" hidden="false" customHeight="false" outlineLevel="0" collapsed="false">
      <c r="A315" s="29"/>
      <c r="B315" s="30"/>
      <c r="C315" s="30"/>
      <c r="D315" s="30"/>
      <c r="E315" s="16"/>
      <c r="F315" s="30"/>
      <c r="G315" s="30"/>
    </row>
    <row r="316" customFormat="false" ht="15" hidden="false" customHeight="false" outlineLevel="0" collapsed="false">
      <c r="A316" s="29"/>
      <c r="B316" s="30"/>
      <c r="C316" s="30"/>
      <c r="D316" s="30"/>
      <c r="E316" s="16"/>
      <c r="F316" s="30"/>
      <c r="G316" s="30"/>
    </row>
    <row r="317" customFormat="false" ht="15" hidden="false" customHeight="false" outlineLevel="0" collapsed="false">
      <c r="A317" s="29"/>
      <c r="B317" s="30"/>
      <c r="C317" s="30"/>
      <c r="D317" s="30"/>
      <c r="E317" s="16"/>
      <c r="F317" s="30"/>
      <c r="G317" s="30"/>
    </row>
    <row r="318" customFormat="false" ht="15" hidden="false" customHeight="false" outlineLevel="0" collapsed="false">
      <c r="A318" s="29"/>
      <c r="B318" s="30"/>
      <c r="C318" s="30"/>
      <c r="D318" s="30"/>
      <c r="E318" s="16"/>
      <c r="F318" s="30"/>
      <c r="G318" s="30"/>
    </row>
    <row r="319" customFormat="false" ht="15" hidden="false" customHeight="false" outlineLevel="0" collapsed="false">
      <c r="A319" s="29"/>
      <c r="B319" s="30"/>
      <c r="C319" s="30"/>
      <c r="D319" s="30"/>
      <c r="E319" s="16"/>
      <c r="F319" s="30"/>
      <c r="G319" s="30"/>
    </row>
    <row r="320" customFormat="false" ht="15" hidden="false" customHeight="false" outlineLevel="0" collapsed="false">
      <c r="A320" s="29"/>
      <c r="B320" s="30"/>
      <c r="C320" s="30"/>
      <c r="D320" s="30"/>
      <c r="E320" s="16"/>
      <c r="F320" s="30"/>
      <c r="G320" s="30"/>
    </row>
    <row r="321" customFormat="false" ht="15" hidden="false" customHeight="false" outlineLevel="0" collapsed="false">
      <c r="A321" s="29"/>
      <c r="B321" s="30"/>
      <c r="C321" s="30"/>
      <c r="D321" s="30"/>
      <c r="E321" s="16"/>
      <c r="F321" s="30"/>
      <c r="G321" s="30"/>
    </row>
    <row r="322" customFormat="false" ht="15" hidden="false" customHeight="false" outlineLevel="0" collapsed="false">
      <c r="A322" s="29"/>
      <c r="B322" s="30"/>
      <c r="C322" s="30"/>
      <c r="D322" s="30"/>
      <c r="E322" s="16"/>
      <c r="F322" s="30"/>
      <c r="G322" s="30"/>
    </row>
    <row r="323" customFormat="false" ht="15" hidden="false" customHeight="false" outlineLevel="0" collapsed="false">
      <c r="A323" s="29"/>
      <c r="B323" s="30"/>
      <c r="C323" s="30"/>
      <c r="D323" s="30"/>
      <c r="E323" s="16"/>
      <c r="F323" s="30"/>
      <c r="G323" s="30"/>
    </row>
    <row r="324" customFormat="false" ht="15" hidden="false" customHeight="false" outlineLevel="0" collapsed="false">
      <c r="A324" s="29"/>
      <c r="B324" s="30"/>
      <c r="C324" s="30"/>
      <c r="D324" s="30"/>
      <c r="E324" s="16"/>
      <c r="F324" s="30"/>
      <c r="G324" s="30"/>
    </row>
    <row r="325" customFormat="false" ht="15" hidden="false" customHeight="false" outlineLevel="0" collapsed="false">
      <c r="A325" s="29"/>
      <c r="B325" s="30"/>
      <c r="C325" s="30"/>
      <c r="D325" s="30"/>
      <c r="E325" s="16"/>
      <c r="F325" s="30"/>
      <c r="G325" s="30"/>
    </row>
    <row r="326" customFormat="false" ht="15" hidden="false" customHeight="false" outlineLevel="0" collapsed="false">
      <c r="A326" s="29"/>
      <c r="B326" s="30"/>
      <c r="C326" s="30"/>
      <c r="D326" s="30"/>
      <c r="E326" s="16"/>
      <c r="F326" s="30"/>
      <c r="G326" s="30"/>
    </row>
    <row r="327" customFormat="false" ht="15" hidden="false" customHeight="false" outlineLevel="0" collapsed="false">
      <c r="A327" s="29"/>
      <c r="B327" s="30"/>
      <c r="C327" s="30"/>
      <c r="D327" s="30"/>
      <c r="E327" s="16"/>
      <c r="F327" s="30"/>
      <c r="G327" s="30"/>
    </row>
    <row r="328" customFormat="false" ht="15" hidden="false" customHeight="false" outlineLevel="0" collapsed="false">
      <c r="A328" s="29"/>
      <c r="B328" s="30"/>
      <c r="C328" s="30"/>
      <c r="D328" s="30"/>
      <c r="E328" s="16"/>
      <c r="F328" s="30"/>
      <c r="G328" s="30"/>
    </row>
    <row r="329" customFormat="false" ht="15" hidden="false" customHeight="false" outlineLevel="0" collapsed="false">
      <c r="A329" s="29"/>
      <c r="B329" s="30"/>
      <c r="C329" s="30"/>
      <c r="D329" s="30"/>
      <c r="E329" s="16"/>
      <c r="F329" s="30"/>
      <c r="G329" s="30"/>
    </row>
    <row r="330" customFormat="false" ht="15" hidden="false" customHeight="false" outlineLevel="0" collapsed="false">
      <c r="A330" s="29"/>
      <c r="B330" s="30"/>
      <c r="C330" s="30"/>
      <c r="D330" s="30"/>
      <c r="E330" s="16"/>
      <c r="F330" s="30"/>
      <c r="G330" s="30"/>
    </row>
    <row r="331" customFormat="false" ht="15" hidden="false" customHeight="false" outlineLevel="0" collapsed="false">
      <c r="A331" s="29"/>
      <c r="B331" s="30"/>
      <c r="C331" s="30"/>
      <c r="D331" s="30"/>
      <c r="E331" s="16"/>
      <c r="F331" s="30"/>
      <c r="G331" s="30"/>
    </row>
    <row r="332" customFormat="false" ht="15" hidden="false" customHeight="false" outlineLevel="0" collapsed="false">
      <c r="A332" s="29"/>
      <c r="B332" s="30"/>
      <c r="C332" s="30"/>
      <c r="D332" s="30"/>
      <c r="E332" s="16"/>
      <c r="F332" s="30"/>
      <c r="G332" s="30"/>
    </row>
    <row r="333" customFormat="false" ht="15" hidden="false" customHeight="false" outlineLevel="0" collapsed="false">
      <c r="A333" s="29"/>
      <c r="B333" s="30"/>
      <c r="C333" s="30"/>
      <c r="D333" s="30"/>
      <c r="E333" s="16"/>
      <c r="F333" s="30"/>
      <c r="G333" s="30"/>
    </row>
    <row r="334" customFormat="false" ht="15" hidden="false" customHeight="false" outlineLevel="0" collapsed="false">
      <c r="A334" s="29"/>
      <c r="B334" s="30"/>
      <c r="C334" s="30"/>
      <c r="D334" s="30"/>
      <c r="E334" s="16"/>
      <c r="F334" s="30"/>
      <c r="G334" s="30"/>
    </row>
    <row r="335" customFormat="false" ht="15" hidden="false" customHeight="false" outlineLevel="0" collapsed="false">
      <c r="A335" s="29"/>
      <c r="B335" s="30"/>
      <c r="C335" s="30"/>
      <c r="D335" s="30"/>
      <c r="E335" s="16"/>
      <c r="F335" s="30"/>
      <c r="G335" s="30"/>
    </row>
    <row r="336" customFormat="false" ht="15" hidden="false" customHeight="false" outlineLevel="0" collapsed="false">
      <c r="A336" s="29"/>
      <c r="B336" s="30"/>
      <c r="C336" s="30"/>
      <c r="D336" s="30"/>
      <c r="E336" s="16"/>
      <c r="F336" s="30"/>
      <c r="G336" s="30"/>
    </row>
    <row r="337" customFormat="false" ht="15" hidden="false" customHeight="false" outlineLevel="0" collapsed="false">
      <c r="A337" s="29"/>
      <c r="B337" s="30"/>
      <c r="C337" s="30"/>
      <c r="D337" s="30"/>
      <c r="E337" s="16"/>
      <c r="F337" s="30"/>
      <c r="G337" s="30"/>
    </row>
    <row r="338" customFormat="false" ht="15" hidden="false" customHeight="false" outlineLevel="0" collapsed="false">
      <c r="A338" s="29"/>
      <c r="B338" s="30"/>
      <c r="C338" s="30"/>
      <c r="D338" s="30"/>
      <c r="E338" s="16"/>
      <c r="F338" s="30"/>
      <c r="G338" s="30"/>
    </row>
    <row r="339" customFormat="false" ht="15" hidden="false" customHeight="false" outlineLevel="0" collapsed="false">
      <c r="A339" s="29"/>
      <c r="B339" s="30"/>
      <c r="C339" s="30"/>
      <c r="D339" s="30"/>
      <c r="E339" s="16"/>
      <c r="F339" s="30"/>
      <c r="G339" s="30"/>
    </row>
    <row r="340" customFormat="false" ht="15" hidden="false" customHeight="false" outlineLevel="0" collapsed="false">
      <c r="A340" s="29"/>
      <c r="B340" s="30"/>
      <c r="C340" s="30"/>
      <c r="D340" s="30"/>
      <c r="E340" s="16"/>
      <c r="F340" s="30"/>
      <c r="G340" s="30"/>
    </row>
    <row r="341" customFormat="false" ht="15" hidden="false" customHeight="false" outlineLevel="0" collapsed="false">
      <c r="A341" s="29"/>
      <c r="B341" s="30"/>
      <c r="C341" s="30"/>
      <c r="D341" s="30"/>
      <c r="E341" s="16"/>
      <c r="F341" s="30"/>
      <c r="G341" s="30"/>
    </row>
    <row r="342" customFormat="false" ht="15" hidden="false" customHeight="false" outlineLevel="0" collapsed="false">
      <c r="A342" s="29"/>
      <c r="B342" s="30"/>
      <c r="C342" s="30"/>
      <c r="D342" s="30"/>
      <c r="E342" s="16"/>
      <c r="F342" s="30"/>
      <c r="G342" s="30"/>
    </row>
    <row r="343" customFormat="false" ht="15" hidden="false" customHeight="false" outlineLevel="0" collapsed="false">
      <c r="A343" s="29"/>
      <c r="B343" s="30"/>
      <c r="C343" s="30"/>
      <c r="D343" s="30"/>
      <c r="E343" s="16"/>
      <c r="F343" s="30"/>
      <c r="G343" s="30"/>
    </row>
    <row r="344" customFormat="false" ht="15" hidden="false" customHeight="false" outlineLevel="0" collapsed="false">
      <c r="A344" s="29"/>
      <c r="B344" s="30"/>
      <c r="C344" s="30"/>
      <c r="D344" s="30"/>
      <c r="E344" s="16"/>
      <c r="F344" s="30"/>
      <c r="G344" s="30"/>
    </row>
    <row r="345" customFormat="false" ht="15" hidden="false" customHeight="false" outlineLevel="0" collapsed="false">
      <c r="A345" s="29"/>
      <c r="B345" s="30"/>
      <c r="C345" s="30"/>
      <c r="D345" s="30"/>
      <c r="E345" s="16"/>
      <c r="F345" s="30"/>
      <c r="G345" s="30"/>
    </row>
    <row r="346" customFormat="false" ht="15" hidden="false" customHeight="false" outlineLevel="0" collapsed="false">
      <c r="A346" s="29"/>
      <c r="B346" s="30"/>
      <c r="C346" s="30"/>
      <c r="D346" s="30"/>
      <c r="E346" s="16"/>
      <c r="F346" s="30"/>
      <c r="G346" s="30"/>
    </row>
    <row r="347" customFormat="false" ht="15" hidden="false" customHeight="false" outlineLevel="0" collapsed="false">
      <c r="A347" s="29"/>
      <c r="B347" s="30"/>
      <c r="C347" s="30"/>
      <c r="D347" s="30"/>
      <c r="E347" s="16"/>
      <c r="F347" s="30"/>
      <c r="G347" s="30"/>
    </row>
    <row r="348" customFormat="false" ht="15" hidden="false" customHeight="false" outlineLevel="0" collapsed="false">
      <c r="A348" s="29"/>
      <c r="B348" s="30"/>
      <c r="C348" s="30"/>
      <c r="D348" s="30"/>
      <c r="E348" s="16"/>
      <c r="F348" s="30"/>
      <c r="G348" s="30"/>
    </row>
    <row r="349" customFormat="false" ht="15" hidden="false" customHeight="false" outlineLevel="0" collapsed="false">
      <c r="A349" s="29"/>
      <c r="B349" s="30"/>
      <c r="C349" s="30"/>
      <c r="D349" s="30"/>
      <c r="E349" s="16"/>
      <c r="F349" s="30"/>
      <c r="G349" s="30"/>
    </row>
    <row r="350" customFormat="false" ht="15" hidden="false" customHeight="false" outlineLevel="0" collapsed="false">
      <c r="A350" s="29"/>
      <c r="B350" s="30"/>
      <c r="C350" s="30"/>
      <c r="D350" s="30"/>
      <c r="E350" s="16"/>
      <c r="F350" s="30"/>
      <c r="G350" s="30"/>
    </row>
    <row r="351" customFormat="false" ht="15" hidden="false" customHeight="false" outlineLevel="0" collapsed="false">
      <c r="A351" s="29"/>
      <c r="B351" s="30"/>
      <c r="C351" s="30"/>
      <c r="D351" s="30"/>
      <c r="E351" s="16"/>
      <c r="F351" s="30"/>
      <c r="G351" s="30"/>
    </row>
    <row r="352" customFormat="false" ht="15" hidden="false" customHeight="false" outlineLevel="0" collapsed="false">
      <c r="A352" s="29"/>
      <c r="B352" s="30"/>
      <c r="C352" s="30"/>
      <c r="D352" s="30"/>
      <c r="E352" s="16"/>
      <c r="F352" s="30"/>
      <c r="G352" s="30"/>
    </row>
    <row r="353" customFormat="false" ht="15" hidden="false" customHeight="false" outlineLevel="0" collapsed="false">
      <c r="A353" s="29"/>
      <c r="B353" s="30"/>
      <c r="C353" s="30"/>
      <c r="D353" s="30"/>
      <c r="E353" s="16"/>
      <c r="F353" s="30"/>
      <c r="G353" s="30"/>
    </row>
    <row r="354" customFormat="false" ht="15" hidden="false" customHeight="false" outlineLevel="0" collapsed="false">
      <c r="A354" s="29"/>
      <c r="B354" s="30"/>
      <c r="C354" s="30"/>
      <c r="D354" s="30"/>
      <c r="E354" s="16"/>
      <c r="F354" s="30"/>
      <c r="G354" s="30"/>
    </row>
    <row r="355" customFormat="false" ht="15" hidden="false" customHeight="false" outlineLevel="0" collapsed="false">
      <c r="A355" s="29"/>
      <c r="B355" s="30"/>
      <c r="C355" s="30"/>
      <c r="D355" s="30"/>
      <c r="E355" s="16"/>
      <c r="F355" s="30"/>
      <c r="G355" s="30"/>
    </row>
    <row r="356" customFormat="false" ht="15" hidden="false" customHeight="false" outlineLevel="0" collapsed="false">
      <c r="A356" s="29"/>
      <c r="B356" s="30"/>
      <c r="C356" s="30"/>
      <c r="D356" s="30"/>
      <c r="E356" s="16"/>
      <c r="F356" s="30"/>
      <c r="G356" s="30"/>
    </row>
    <row r="357" customFormat="false" ht="15" hidden="false" customHeight="false" outlineLevel="0" collapsed="false">
      <c r="A357" s="29"/>
      <c r="B357" s="30"/>
      <c r="C357" s="30"/>
      <c r="D357" s="30"/>
      <c r="E357" s="16"/>
      <c r="F357" s="30"/>
      <c r="G357" s="30"/>
    </row>
    <row r="358" customFormat="false" ht="15" hidden="false" customHeight="false" outlineLevel="0" collapsed="false">
      <c r="A358" s="29"/>
      <c r="B358" s="30"/>
      <c r="C358" s="30"/>
      <c r="D358" s="30"/>
      <c r="E358" s="16"/>
      <c r="F358" s="30"/>
      <c r="G358" s="30"/>
    </row>
    <row r="359" customFormat="false" ht="15" hidden="false" customHeight="false" outlineLevel="0" collapsed="false">
      <c r="A359" s="29"/>
      <c r="B359" s="30"/>
      <c r="C359" s="30"/>
      <c r="D359" s="30"/>
      <c r="E359" s="16"/>
      <c r="F359" s="30"/>
      <c r="G359" s="30"/>
    </row>
    <row r="360" customFormat="false" ht="15" hidden="false" customHeight="false" outlineLevel="0" collapsed="false">
      <c r="A360" s="29"/>
      <c r="B360" s="30"/>
      <c r="C360" s="30"/>
      <c r="D360" s="30"/>
      <c r="E360" s="16"/>
      <c r="F360" s="30"/>
      <c r="G360" s="30"/>
    </row>
    <row r="361" customFormat="false" ht="15" hidden="false" customHeight="false" outlineLevel="0" collapsed="false">
      <c r="A361" s="29"/>
      <c r="B361" s="30"/>
      <c r="C361" s="30"/>
      <c r="D361" s="30"/>
      <c r="E361" s="16"/>
      <c r="F361" s="30"/>
      <c r="G361" s="30"/>
    </row>
    <row r="362" customFormat="false" ht="15" hidden="false" customHeight="false" outlineLevel="0" collapsed="false">
      <c r="A362" s="29"/>
      <c r="B362" s="30"/>
      <c r="C362" s="30"/>
      <c r="D362" s="30"/>
      <c r="E362" s="16"/>
      <c r="F362" s="30"/>
      <c r="G362" s="30"/>
    </row>
    <row r="363" customFormat="false" ht="15" hidden="false" customHeight="false" outlineLevel="0" collapsed="false">
      <c r="A363" s="29"/>
      <c r="B363" s="30"/>
      <c r="C363" s="30"/>
      <c r="D363" s="30"/>
      <c r="E363" s="16"/>
      <c r="F363" s="30"/>
      <c r="G363" s="30"/>
    </row>
    <row r="364" customFormat="false" ht="15" hidden="false" customHeight="false" outlineLevel="0" collapsed="false">
      <c r="A364" s="29"/>
      <c r="B364" s="30"/>
      <c r="C364" s="30"/>
      <c r="D364" s="30"/>
      <c r="E364" s="16"/>
      <c r="F364" s="30"/>
      <c r="G364" s="30"/>
    </row>
    <row r="365" customFormat="false" ht="15" hidden="false" customHeight="false" outlineLevel="0" collapsed="false">
      <c r="A365" s="29"/>
      <c r="B365" s="30"/>
      <c r="C365" s="30"/>
      <c r="D365" s="30"/>
      <c r="E365" s="16"/>
      <c r="F365" s="30"/>
      <c r="G365" s="30"/>
    </row>
    <row r="366" customFormat="false" ht="15" hidden="false" customHeight="false" outlineLevel="0" collapsed="false">
      <c r="A366" s="29"/>
      <c r="B366" s="30"/>
      <c r="C366" s="30"/>
      <c r="D366" s="30"/>
      <c r="E366" s="16"/>
      <c r="F366" s="30"/>
      <c r="G366" s="30"/>
    </row>
    <row r="367" customFormat="false" ht="15" hidden="false" customHeight="false" outlineLevel="0" collapsed="false">
      <c r="A367" s="29"/>
      <c r="B367" s="30"/>
      <c r="C367" s="30"/>
      <c r="D367" s="30"/>
      <c r="E367" s="16"/>
      <c r="F367" s="30"/>
      <c r="G367" s="30"/>
    </row>
    <row r="368" customFormat="false" ht="15" hidden="false" customHeight="false" outlineLevel="0" collapsed="false">
      <c r="A368" s="29"/>
      <c r="B368" s="30"/>
      <c r="C368" s="30"/>
      <c r="D368" s="30"/>
      <c r="E368" s="16"/>
      <c r="F368" s="30"/>
      <c r="G368" s="30"/>
    </row>
    <row r="369" customFormat="false" ht="15" hidden="false" customHeight="false" outlineLevel="0" collapsed="false">
      <c r="A369" s="29"/>
      <c r="B369" s="30"/>
      <c r="C369" s="30"/>
      <c r="D369" s="30"/>
      <c r="E369" s="16"/>
      <c r="F369" s="30"/>
      <c r="G369" s="30"/>
    </row>
    <row r="370" customFormat="false" ht="15" hidden="false" customHeight="false" outlineLevel="0" collapsed="false">
      <c r="A370" s="29"/>
      <c r="B370" s="30"/>
      <c r="C370" s="30"/>
      <c r="D370" s="30"/>
      <c r="E370" s="16"/>
      <c r="F370" s="30"/>
      <c r="G370" s="30"/>
    </row>
    <row r="371" customFormat="false" ht="15" hidden="false" customHeight="false" outlineLevel="0" collapsed="false">
      <c r="A371" s="29"/>
      <c r="B371" s="30"/>
      <c r="C371" s="30"/>
      <c r="D371" s="30"/>
      <c r="E371" s="16"/>
      <c r="F371" s="30"/>
      <c r="G371" s="30"/>
    </row>
    <row r="372" customFormat="false" ht="15" hidden="false" customHeight="false" outlineLevel="0" collapsed="false">
      <c r="A372" s="29"/>
      <c r="B372" s="30"/>
      <c r="C372" s="30"/>
      <c r="D372" s="30"/>
      <c r="E372" s="16"/>
      <c r="F372" s="30"/>
      <c r="G372" s="30"/>
    </row>
    <row r="373" customFormat="false" ht="15" hidden="false" customHeight="false" outlineLevel="0" collapsed="false">
      <c r="A373" s="29"/>
      <c r="B373" s="30"/>
      <c r="C373" s="30"/>
      <c r="D373" s="30"/>
      <c r="E373" s="16"/>
      <c r="F373" s="30"/>
      <c r="G373" s="30"/>
    </row>
    <row r="374" customFormat="false" ht="15" hidden="false" customHeight="false" outlineLevel="0" collapsed="false">
      <c r="A374" s="29"/>
      <c r="B374" s="30"/>
      <c r="C374" s="30"/>
      <c r="D374" s="30"/>
      <c r="E374" s="16"/>
      <c r="F374" s="30"/>
      <c r="G374" s="30"/>
    </row>
    <row r="375" customFormat="false" ht="15" hidden="false" customHeight="false" outlineLevel="0" collapsed="false">
      <c r="A375" s="29"/>
      <c r="B375" s="30"/>
      <c r="C375" s="30"/>
      <c r="D375" s="30"/>
      <c r="E375" s="16"/>
      <c r="F375" s="30"/>
      <c r="G375" s="30"/>
    </row>
    <row r="376" customFormat="false" ht="15" hidden="false" customHeight="false" outlineLevel="0" collapsed="false">
      <c r="A376" s="29"/>
      <c r="B376" s="30"/>
      <c r="C376" s="30"/>
      <c r="D376" s="30"/>
      <c r="E376" s="16"/>
      <c r="F376" s="30"/>
      <c r="G376" s="30"/>
    </row>
    <row r="377" customFormat="false" ht="15" hidden="false" customHeight="false" outlineLevel="0" collapsed="false">
      <c r="A377" s="29"/>
      <c r="B377" s="30"/>
      <c r="C377" s="30"/>
      <c r="D377" s="30"/>
      <c r="E377" s="16"/>
      <c r="F377" s="30"/>
      <c r="G377" s="30"/>
    </row>
    <row r="378" customFormat="false" ht="15" hidden="false" customHeight="false" outlineLevel="0" collapsed="false">
      <c r="A378" s="29"/>
      <c r="B378" s="30"/>
      <c r="C378" s="30"/>
      <c r="D378" s="30"/>
      <c r="E378" s="16"/>
      <c r="F378" s="30"/>
      <c r="G378" s="30"/>
    </row>
    <row r="379" customFormat="false" ht="15" hidden="false" customHeight="false" outlineLevel="0" collapsed="false">
      <c r="A379" s="29"/>
      <c r="B379" s="30"/>
      <c r="C379" s="30"/>
      <c r="D379" s="30"/>
      <c r="E379" s="16"/>
      <c r="F379" s="30"/>
      <c r="G379" s="30"/>
    </row>
    <row r="380" customFormat="false" ht="15" hidden="false" customHeight="false" outlineLevel="0" collapsed="false">
      <c r="A380" s="29"/>
      <c r="B380" s="30"/>
      <c r="C380" s="30"/>
      <c r="D380" s="30"/>
      <c r="E380" s="16"/>
      <c r="F380" s="30"/>
      <c r="G380" s="30"/>
    </row>
    <row r="381" customFormat="false" ht="15" hidden="false" customHeight="false" outlineLevel="0" collapsed="false">
      <c r="A381" s="29"/>
      <c r="B381" s="30"/>
      <c r="C381" s="30"/>
      <c r="D381" s="30"/>
      <c r="E381" s="16"/>
      <c r="F381" s="30"/>
      <c r="G381" s="30"/>
    </row>
    <row r="382" customFormat="false" ht="15" hidden="false" customHeight="false" outlineLevel="0" collapsed="false">
      <c r="A382" s="29"/>
      <c r="B382" s="30"/>
      <c r="C382" s="30"/>
      <c r="D382" s="30"/>
      <c r="E382" s="16"/>
      <c r="F382" s="30"/>
      <c r="G382" s="30"/>
    </row>
    <row r="383" customFormat="false" ht="15" hidden="false" customHeight="false" outlineLevel="0" collapsed="false">
      <c r="A383" s="29"/>
      <c r="B383" s="30"/>
      <c r="C383" s="30"/>
      <c r="D383" s="30"/>
      <c r="E383" s="16"/>
      <c r="F383" s="30"/>
      <c r="G383" s="30"/>
    </row>
    <row r="384" customFormat="false" ht="15" hidden="false" customHeight="false" outlineLevel="0" collapsed="false">
      <c r="A384" s="29"/>
      <c r="B384" s="30"/>
      <c r="C384" s="30"/>
      <c r="D384" s="30"/>
      <c r="E384" s="16"/>
      <c r="F384" s="30"/>
      <c r="G384" s="30"/>
    </row>
    <row r="385" customFormat="false" ht="15" hidden="false" customHeight="false" outlineLevel="0" collapsed="false">
      <c r="A385" s="29"/>
      <c r="B385" s="30"/>
      <c r="C385" s="30"/>
      <c r="D385" s="30"/>
      <c r="E385" s="16"/>
      <c r="F385" s="30"/>
      <c r="G385" s="30"/>
    </row>
    <row r="386" customFormat="false" ht="15" hidden="false" customHeight="false" outlineLevel="0" collapsed="false">
      <c r="A386" s="29"/>
      <c r="B386" s="30"/>
      <c r="C386" s="30"/>
      <c r="D386" s="30"/>
      <c r="E386" s="16"/>
      <c r="F386" s="30"/>
      <c r="G386" s="30"/>
    </row>
    <row r="387" customFormat="false" ht="15" hidden="false" customHeight="false" outlineLevel="0" collapsed="false">
      <c r="A387" s="29"/>
      <c r="B387" s="30"/>
      <c r="C387" s="30"/>
      <c r="D387" s="30"/>
      <c r="E387" s="16"/>
      <c r="F387" s="30"/>
      <c r="G387" s="30"/>
    </row>
    <row r="388" customFormat="false" ht="15" hidden="false" customHeight="false" outlineLevel="0" collapsed="false">
      <c r="A388" s="29"/>
      <c r="B388" s="30"/>
      <c r="C388" s="30"/>
      <c r="D388" s="30"/>
      <c r="E388" s="16"/>
      <c r="F388" s="30"/>
      <c r="G388" s="30"/>
    </row>
    <row r="389" customFormat="false" ht="15" hidden="false" customHeight="false" outlineLevel="0" collapsed="false">
      <c r="A389" s="29"/>
      <c r="B389" s="30"/>
      <c r="C389" s="30"/>
      <c r="D389" s="30"/>
      <c r="E389" s="16"/>
      <c r="F389" s="30"/>
      <c r="G389" s="30"/>
    </row>
    <row r="390" customFormat="false" ht="15" hidden="false" customHeight="false" outlineLevel="0" collapsed="false">
      <c r="A390" s="29"/>
      <c r="B390" s="30"/>
      <c r="C390" s="30"/>
      <c r="D390" s="30"/>
      <c r="E390" s="16"/>
      <c r="F390" s="30"/>
      <c r="G390" s="30"/>
    </row>
    <row r="391" customFormat="false" ht="15" hidden="false" customHeight="false" outlineLevel="0" collapsed="false">
      <c r="A391" s="29"/>
      <c r="B391" s="30"/>
      <c r="C391" s="30"/>
      <c r="D391" s="30"/>
      <c r="E391" s="16"/>
      <c r="F391" s="30"/>
      <c r="G391" s="30"/>
    </row>
    <row r="392" customFormat="false" ht="15" hidden="false" customHeight="false" outlineLevel="0" collapsed="false">
      <c r="A392" s="29"/>
      <c r="B392" s="30"/>
      <c r="C392" s="30"/>
      <c r="D392" s="30"/>
      <c r="E392" s="16"/>
      <c r="F392" s="30"/>
      <c r="G392" s="30"/>
    </row>
    <row r="393" customFormat="false" ht="15" hidden="false" customHeight="false" outlineLevel="0" collapsed="false">
      <c r="A393" s="29"/>
      <c r="B393" s="30"/>
      <c r="C393" s="30"/>
      <c r="D393" s="30"/>
      <c r="E393" s="16"/>
      <c r="F393" s="30"/>
      <c r="G393" s="30"/>
    </row>
    <row r="394" customFormat="false" ht="15" hidden="false" customHeight="false" outlineLevel="0" collapsed="false">
      <c r="A394" s="29"/>
      <c r="B394" s="30"/>
      <c r="C394" s="30"/>
      <c r="D394" s="30"/>
      <c r="E394" s="16"/>
      <c r="F394" s="30"/>
      <c r="G394" s="30"/>
    </row>
    <row r="395" customFormat="false" ht="15" hidden="false" customHeight="false" outlineLevel="0" collapsed="false">
      <c r="A395" s="29"/>
      <c r="B395" s="30"/>
      <c r="C395" s="30"/>
      <c r="D395" s="30"/>
      <c r="E395" s="16"/>
      <c r="F395" s="30"/>
      <c r="G395" s="30"/>
    </row>
    <row r="396" customFormat="false" ht="15" hidden="false" customHeight="false" outlineLevel="0" collapsed="false">
      <c r="A396" s="29"/>
      <c r="B396" s="30"/>
      <c r="C396" s="30"/>
      <c r="D396" s="30"/>
      <c r="E396" s="16"/>
      <c r="F396" s="30"/>
      <c r="G396" s="30"/>
    </row>
    <row r="397" customFormat="false" ht="15" hidden="false" customHeight="false" outlineLevel="0" collapsed="false">
      <c r="A397" s="29"/>
      <c r="B397" s="30"/>
      <c r="C397" s="30"/>
      <c r="D397" s="30"/>
      <c r="E397" s="16"/>
      <c r="F397" s="30"/>
      <c r="G397" s="30"/>
    </row>
    <row r="398" customFormat="false" ht="15" hidden="false" customHeight="false" outlineLevel="0" collapsed="false">
      <c r="A398" s="29"/>
      <c r="B398" s="30"/>
      <c r="C398" s="30"/>
      <c r="D398" s="30"/>
      <c r="E398" s="16"/>
      <c r="F398" s="30"/>
      <c r="G398" s="30"/>
    </row>
    <row r="399" customFormat="false" ht="15" hidden="false" customHeight="false" outlineLevel="0" collapsed="false">
      <c r="A399" s="29"/>
      <c r="B399" s="30"/>
      <c r="C399" s="30"/>
      <c r="D399" s="30"/>
      <c r="E399" s="16"/>
      <c r="F399" s="30"/>
      <c r="G399" s="30"/>
    </row>
    <row r="400" customFormat="false" ht="15" hidden="false" customHeight="false" outlineLevel="0" collapsed="false">
      <c r="A400" s="29"/>
      <c r="B400" s="30"/>
      <c r="C400" s="30"/>
      <c r="D400" s="30"/>
      <c r="E400" s="16"/>
      <c r="F400" s="30"/>
      <c r="G400" s="30"/>
    </row>
    <row r="401" customFormat="false" ht="15" hidden="false" customHeight="false" outlineLevel="0" collapsed="false">
      <c r="A401" s="29"/>
      <c r="B401" s="30"/>
      <c r="C401" s="30"/>
      <c r="D401" s="30"/>
      <c r="E401" s="16"/>
      <c r="F401" s="30"/>
      <c r="G401" s="30"/>
    </row>
    <row r="402" customFormat="false" ht="15" hidden="false" customHeight="false" outlineLevel="0" collapsed="false">
      <c r="A402" s="29"/>
      <c r="B402" s="30"/>
      <c r="C402" s="30"/>
      <c r="D402" s="30"/>
      <c r="E402" s="16"/>
      <c r="F402" s="30"/>
      <c r="G402" s="30"/>
    </row>
    <row r="403" customFormat="false" ht="15" hidden="false" customHeight="false" outlineLevel="0" collapsed="false">
      <c r="A403" s="29"/>
      <c r="B403" s="30"/>
      <c r="C403" s="30"/>
      <c r="D403" s="30"/>
      <c r="E403" s="16"/>
      <c r="F403" s="30"/>
      <c r="G403" s="30"/>
    </row>
    <row r="404" customFormat="false" ht="15" hidden="false" customHeight="false" outlineLevel="0" collapsed="false">
      <c r="A404" s="29"/>
      <c r="B404" s="30"/>
      <c r="C404" s="30"/>
      <c r="D404" s="30"/>
      <c r="E404" s="16"/>
      <c r="F404" s="30"/>
      <c r="G404" s="30"/>
    </row>
    <row r="405" customFormat="false" ht="15" hidden="false" customHeight="false" outlineLevel="0" collapsed="false">
      <c r="A405" s="29"/>
      <c r="B405" s="30"/>
      <c r="C405" s="30"/>
      <c r="D405" s="30"/>
      <c r="E405" s="16"/>
      <c r="F405" s="30"/>
      <c r="G405" s="30"/>
    </row>
    <row r="406" customFormat="false" ht="15" hidden="false" customHeight="false" outlineLevel="0" collapsed="false">
      <c r="A406" s="29"/>
      <c r="B406" s="30"/>
      <c r="C406" s="30"/>
      <c r="D406" s="30"/>
      <c r="E406" s="16"/>
      <c r="F406" s="30"/>
      <c r="G406" s="30"/>
    </row>
    <row r="407" customFormat="false" ht="15" hidden="false" customHeight="false" outlineLevel="0" collapsed="false">
      <c r="A407" s="29"/>
      <c r="B407" s="30"/>
      <c r="C407" s="30"/>
      <c r="D407" s="30"/>
      <c r="E407" s="16"/>
      <c r="F407" s="30"/>
      <c r="G407" s="30"/>
    </row>
    <row r="408" customFormat="false" ht="15" hidden="false" customHeight="false" outlineLevel="0" collapsed="false">
      <c r="A408" s="29"/>
      <c r="B408" s="30"/>
      <c r="C408" s="30"/>
      <c r="D408" s="30"/>
      <c r="E408" s="16"/>
      <c r="F408" s="30"/>
      <c r="G408" s="30"/>
    </row>
    <row r="409" customFormat="false" ht="15" hidden="false" customHeight="false" outlineLevel="0" collapsed="false">
      <c r="A409" s="29"/>
      <c r="B409" s="30"/>
      <c r="C409" s="30"/>
      <c r="D409" s="30"/>
      <c r="E409" s="16"/>
      <c r="F409" s="30"/>
      <c r="G409" s="30"/>
    </row>
    <row r="410" customFormat="false" ht="15" hidden="false" customHeight="false" outlineLevel="0" collapsed="false">
      <c r="A410" s="29"/>
      <c r="B410" s="30"/>
      <c r="C410" s="30"/>
      <c r="D410" s="30"/>
      <c r="E410" s="16"/>
      <c r="F410" s="30"/>
      <c r="G410" s="30"/>
    </row>
    <row r="411" customFormat="false" ht="15" hidden="false" customHeight="false" outlineLevel="0" collapsed="false">
      <c r="A411" s="29"/>
      <c r="B411" s="30"/>
      <c r="C411" s="30"/>
      <c r="D411" s="30"/>
      <c r="E411" s="16"/>
      <c r="F411" s="30"/>
      <c r="G411" s="30"/>
    </row>
    <row r="412" customFormat="false" ht="15" hidden="false" customHeight="false" outlineLevel="0" collapsed="false">
      <c r="A412" s="29"/>
      <c r="B412" s="30"/>
      <c r="C412" s="30"/>
      <c r="D412" s="30"/>
      <c r="E412" s="16"/>
      <c r="F412" s="30"/>
      <c r="G412" s="30"/>
    </row>
    <row r="413" customFormat="false" ht="15" hidden="false" customHeight="false" outlineLevel="0" collapsed="false">
      <c r="A413" s="29"/>
      <c r="B413" s="30"/>
      <c r="C413" s="30"/>
      <c r="D413" s="30"/>
      <c r="E413" s="16"/>
      <c r="F413" s="30"/>
      <c r="G413" s="30"/>
    </row>
    <row r="414" customFormat="false" ht="15" hidden="false" customHeight="false" outlineLevel="0" collapsed="false">
      <c r="A414" s="29"/>
      <c r="B414" s="30"/>
      <c r="C414" s="30"/>
      <c r="D414" s="30"/>
      <c r="E414" s="16"/>
      <c r="F414" s="30"/>
      <c r="G414" s="30"/>
    </row>
    <row r="415" customFormat="false" ht="15" hidden="false" customHeight="false" outlineLevel="0" collapsed="false">
      <c r="A415" s="29"/>
      <c r="B415" s="30"/>
      <c r="C415" s="30"/>
      <c r="D415" s="30"/>
      <c r="E415" s="16"/>
      <c r="F415" s="30"/>
      <c r="G415" s="30"/>
    </row>
    <row r="416" customFormat="false" ht="15" hidden="false" customHeight="false" outlineLevel="0" collapsed="false">
      <c r="A416" s="29"/>
      <c r="B416" s="30"/>
      <c r="C416" s="30"/>
      <c r="D416" s="30"/>
      <c r="E416" s="16"/>
      <c r="F416" s="30"/>
      <c r="G416" s="30"/>
    </row>
    <row r="417" customFormat="false" ht="15" hidden="false" customHeight="false" outlineLevel="0" collapsed="false">
      <c r="A417" s="29"/>
      <c r="B417" s="30"/>
      <c r="C417" s="30"/>
      <c r="D417" s="30"/>
      <c r="E417" s="16"/>
      <c r="F417" s="30"/>
      <c r="G417" s="30"/>
    </row>
    <row r="418" customFormat="false" ht="15" hidden="false" customHeight="false" outlineLevel="0" collapsed="false">
      <c r="A418" s="29"/>
      <c r="B418" s="30"/>
      <c r="C418" s="30"/>
      <c r="D418" s="30"/>
      <c r="E418" s="16"/>
      <c r="F418" s="30"/>
      <c r="G418" s="30"/>
    </row>
    <row r="419" customFormat="false" ht="15" hidden="false" customHeight="false" outlineLevel="0" collapsed="false">
      <c r="A419" s="29"/>
      <c r="B419" s="30"/>
      <c r="C419" s="30"/>
      <c r="D419" s="30"/>
      <c r="E419" s="16"/>
      <c r="F419" s="30"/>
      <c r="G419" s="30"/>
    </row>
    <row r="420" customFormat="false" ht="15" hidden="false" customHeight="false" outlineLevel="0" collapsed="false">
      <c r="A420" s="29"/>
      <c r="B420" s="30"/>
      <c r="C420" s="30"/>
      <c r="D420" s="30"/>
      <c r="E420" s="16"/>
      <c r="F420" s="30"/>
      <c r="G420" s="30"/>
    </row>
    <row r="421" customFormat="false" ht="15" hidden="false" customHeight="false" outlineLevel="0" collapsed="false">
      <c r="A421" s="29"/>
      <c r="B421" s="30"/>
      <c r="C421" s="30"/>
      <c r="D421" s="30"/>
      <c r="E421" s="16"/>
      <c r="F421" s="30"/>
      <c r="G421" s="30"/>
    </row>
    <row r="422" customFormat="false" ht="15" hidden="false" customHeight="false" outlineLevel="0" collapsed="false">
      <c r="A422" s="29"/>
      <c r="B422" s="30"/>
      <c r="C422" s="30"/>
      <c r="D422" s="30"/>
      <c r="E422" s="16"/>
      <c r="F422" s="30"/>
      <c r="G422" s="30"/>
    </row>
    <row r="423" customFormat="false" ht="15" hidden="false" customHeight="false" outlineLevel="0" collapsed="false">
      <c r="A423" s="29"/>
      <c r="B423" s="30"/>
      <c r="C423" s="30"/>
      <c r="D423" s="30"/>
      <c r="E423" s="16"/>
      <c r="F423" s="30"/>
      <c r="G423" s="30"/>
    </row>
    <row r="424" customFormat="false" ht="15" hidden="false" customHeight="false" outlineLevel="0" collapsed="false">
      <c r="A424" s="29"/>
      <c r="B424" s="30"/>
      <c r="C424" s="30"/>
      <c r="D424" s="30"/>
      <c r="E424" s="16"/>
      <c r="F424" s="30"/>
      <c r="G424" s="30"/>
    </row>
    <row r="425" customFormat="false" ht="15" hidden="false" customHeight="false" outlineLevel="0" collapsed="false">
      <c r="A425" s="29"/>
      <c r="B425" s="30"/>
      <c r="C425" s="30"/>
      <c r="D425" s="30"/>
      <c r="E425" s="16"/>
      <c r="F425" s="30"/>
      <c r="G425" s="30"/>
    </row>
    <row r="426" customFormat="false" ht="15" hidden="false" customHeight="false" outlineLevel="0" collapsed="false">
      <c r="A426" s="29"/>
      <c r="B426" s="30"/>
      <c r="C426" s="30"/>
      <c r="D426" s="30"/>
      <c r="E426" s="16"/>
      <c r="F426" s="30"/>
      <c r="G426" s="30"/>
    </row>
    <row r="427" customFormat="false" ht="15" hidden="false" customHeight="false" outlineLevel="0" collapsed="false">
      <c r="A427" s="29"/>
      <c r="B427" s="30"/>
      <c r="C427" s="30"/>
      <c r="D427" s="30"/>
      <c r="E427" s="16"/>
      <c r="F427" s="30"/>
      <c r="G427" s="30"/>
    </row>
    <row r="428" customFormat="false" ht="15" hidden="false" customHeight="false" outlineLevel="0" collapsed="false">
      <c r="A428" s="29"/>
      <c r="B428" s="30"/>
      <c r="C428" s="30"/>
      <c r="D428" s="30"/>
      <c r="E428" s="16"/>
      <c r="F428" s="30"/>
      <c r="G428" s="30"/>
    </row>
    <row r="429" customFormat="false" ht="15" hidden="false" customHeight="false" outlineLevel="0" collapsed="false">
      <c r="A429" s="29"/>
      <c r="B429" s="30"/>
      <c r="C429" s="30"/>
      <c r="D429" s="30"/>
      <c r="E429" s="16"/>
      <c r="F429" s="30"/>
      <c r="G429" s="30"/>
    </row>
    <row r="430" customFormat="false" ht="15" hidden="false" customHeight="false" outlineLevel="0" collapsed="false">
      <c r="A430" s="29"/>
      <c r="B430" s="30"/>
      <c r="C430" s="30"/>
      <c r="D430" s="30"/>
      <c r="E430" s="16"/>
      <c r="F430" s="30"/>
      <c r="G430" s="30"/>
    </row>
    <row r="431" customFormat="false" ht="15" hidden="false" customHeight="false" outlineLevel="0" collapsed="false">
      <c r="A431" s="29"/>
      <c r="B431" s="30"/>
      <c r="C431" s="30"/>
      <c r="D431" s="30"/>
      <c r="E431" s="16"/>
      <c r="F431" s="30"/>
      <c r="G431" s="30"/>
    </row>
    <row r="432" customFormat="false" ht="15" hidden="false" customHeight="false" outlineLevel="0" collapsed="false">
      <c r="A432" s="29"/>
      <c r="B432" s="30"/>
      <c r="C432" s="30"/>
      <c r="D432" s="30"/>
      <c r="E432" s="16"/>
      <c r="F432" s="30"/>
      <c r="G432" s="30"/>
    </row>
    <row r="433" customFormat="false" ht="15" hidden="false" customHeight="false" outlineLevel="0" collapsed="false">
      <c r="A433" s="29"/>
      <c r="B433" s="30"/>
      <c r="C433" s="30"/>
      <c r="D433" s="30"/>
      <c r="E433" s="16"/>
      <c r="F433" s="30"/>
      <c r="G433" s="30"/>
    </row>
    <row r="434" customFormat="false" ht="15" hidden="false" customHeight="false" outlineLevel="0" collapsed="false">
      <c r="A434" s="29"/>
      <c r="B434" s="30"/>
      <c r="C434" s="30"/>
      <c r="D434" s="30"/>
      <c r="E434" s="16"/>
      <c r="F434" s="30"/>
      <c r="G434" s="30"/>
    </row>
    <row r="435" customFormat="false" ht="15" hidden="false" customHeight="false" outlineLevel="0" collapsed="false">
      <c r="A435" s="29"/>
      <c r="B435" s="30"/>
      <c r="C435" s="30"/>
      <c r="D435" s="30"/>
      <c r="E435" s="16"/>
      <c r="F435" s="30"/>
      <c r="G435" s="30"/>
    </row>
    <row r="436" customFormat="false" ht="15" hidden="false" customHeight="false" outlineLevel="0" collapsed="false">
      <c r="A436" s="29"/>
      <c r="B436" s="30"/>
      <c r="C436" s="30"/>
      <c r="D436" s="30"/>
      <c r="E436" s="16"/>
      <c r="F436" s="30"/>
      <c r="G436" s="30"/>
    </row>
    <row r="437" customFormat="false" ht="15" hidden="false" customHeight="false" outlineLevel="0" collapsed="false">
      <c r="A437" s="29"/>
      <c r="B437" s="30"/>
      <c r="C437" s="30"/>
      <c r="D437" s="30"/>
      <c r="E437" s="16"/>
      <c r="F437" s="30"/>
      <c r="G437" s="30"/>
    </row>
    <row r="438" customFormat="false" ht="15" hidden="false" customHeight="false" outlineLevel="0" collapsed="false">
      <c r="A438" s="29"/>
      <c r="B438" s="30"/>
      <c r="C438" s="30"/>
      <c r="D438" s="30"/>
      <c r="E438" s="16"/>
      <c r="F438" s="30"/>
      <c r="G438" s="30"/>
    </row>
    <row r="439" customFormat="false" ht="15" hidden="false" customHeight="false" outlineLevel="0" collapsed="false">
      <c r="A439" s="29"/>
      <c r="B439" s="30"/>
      <c r="C439" s="30"/>
      <c r="D439" s="30"/>
      <c r="E439" s="16"/>
      <c r="F439" s="30"/>
      <c r="G439" s="30"/>
    </row>
    <row r="440" customFormat="false" ht="15" hidden="false" customHeight="false" outlineLevel="0" collapsed="false">
      <c r="A440" s="29"/>
      <c r="B440" s="30"/>
      <c r="C440" s="30"/>
      <c r="D440" s="30"/>
      <c r="E440" s="16"/>
      <c r="F440" s="30"/>
      <c r="G440" s="30"/>
    </row>
    <row r="441" customFormat="false" ht="15" hidden="false" customHeight="false" outlineLevel="0" collapsed="false">
      <c r="A441" s="29"/>
      <c r="B441" s="30"/>
      <c r="C441" s="30"/>
      <c r="D441" s="30"/>
      <c r="E441" s="16"/>
      <c r="F441" s="30"/>
      <c r="G441" s="30"/>
    </row>
    <row r="442" customFormat="false" ht="15" hidden="false" customHeight="false" outlineLevel="0" collapsed="false">
      <c r="A442" s="29"/>
      <c r="B442" s="30"/>
      <c r="C442" s="30"/>
      <c r="D442" s="30"/>
      <c r="E442" s="16"/>
      <c r="F442" s="30"/>
      <c r="G442" s="30"/>
    </row>
    <row r="443" customFormat="false" ht="15" hidden="false" customHeight="false" outlineLevel="0" collapsed="false">
      <c r="A443" s="29"/>
      <c r="B443" s="30"/>
      <c r="C443" s="30"/>
      <c r="D443" s="30"/>
      <c r="E443" s="16"/>
      <c r="F443" s="30"/>
      <c r="G443" s="30"/>
    </row>
    <row r="444" customFormat="false" ht="15" hidden="false" customHeight="false" outlineLevel="0" collapsed="false">
      <c r="A444" s="29"/>
      <c r="B444" s="30"/>
      <c r="C444" s="30"/>
      <c r="D444" s="30"/>
      <c r="E444" s="16"/>
      <c r="F444" s="30"/>
      <c r="G444" s="30"/>
    </row>
    <row r="445" customFormat="false" ht="15" hidden="false" customHeight="false" outlineLevel="0" collapsed="false">
      <c r="A445" s="29"/>
      <c r="B445" s="30"/>
      <c r="C445" s="30"/>
      <c r="D445" s="30"/>
      <c r="E445" s="16"/>
      <c r="F445" s="30"/>
      <c r="G445" s="30"/>
    </row>
    <row r="446" customFormat="false" ht="15" hidden="false" customHeight="false" outlineLevel="0" collapsed="false">
      <c r="A446" s="29"/>
      <c r="B446" s="30"/>
      <c r="C446" s="30"/>
      <c r="D446" s="30"/>
      <c r="E446" s="16"/>
      <c r="F446" s="30"/>
      <c r="G446" s="30"/>
    </row>
    <row r="447" customFormat="false" ht="15" hidden="false" customHeight="false" outlineLevel="0" collapsed="false">
      <c r="A447" s="29"/>
      <c r="B447" s="30"/>
      <c r="C447" s="30"/>
      <c r="D447" s="30"/>
      <c r="E447" s="16"/>
      <c r="F447" s="30"/>
      <c r="G447" s="30"/>
    </row>
    <row r="448" customFormat="false" ht="15" hidden="false" customHeight="false" outlineLevel="0" collapsed="false">
      <c r="A448" s="29"/>
      <c r="B448" s="30"/>
      <c r="C448" s="30"/>
      <c r="D448" s="30"/>
      <c r="E448" s="16"/>
      <c r="F448" s="30"/>
      <c r="G448" s="30"/>
    </row>
    <row r="449" customFormat="false" ht="15" hidden="false" customHeight="false" outlineLevel="0" collapsed="false">
      <c r="A449" s="29"/>
      <c r="B449" s="30"/>
      <c r="C449" s="30"/>
      <c r="D449" s="30"/>
      <c r="E449" s="16"/>
      <c r="F449" s="30"/>
      <c r="G449" s="30"/>
    </row>
    <row r="450" customFormat="false" ht="15" hidden="false" customHeight="false" outlineLevel="0" collapsed="false">
      <c r="A450" s="29"/>
      <c r="B450" s="30"/>
      <c r="C450" s="30"/>
      <c r="D450" s="30"/>
      <c r="E450" s="16"/>
      <c r="F450" s="30"/>
      <c r="G450" s="30"/>
    </row>
    <row r="451" customFormat="false" ht="15" hidden="false" customHeight="false" outlineLevel="0" collapsed="false">
      <c r="A451" s="29"/>
      <c r="B451" s="30"/>
      <c r="C451" s="30"/>
      <c r="D451" s="30"/>
      <c r="E451" s="16"/>
      <c r="F451" s="30"/>
      <c r="G451" s="30"/>
    </row>
    <row r="452" customFormat="false" ht="15" hidden="false" customHeight="false" outlineLevel="0" collapsed="false">
      <c r="A452" s="29"/>
      <c r="B452" s="30"/>
      <c r="C452" s="30"/>
      <c r="D452" s="30"/>
      <c r="E452" s="16"/>
      <c r="F452" s="30"/>
      <c r="G452" s="30"/>
    </row>
    <row r="453" customFormat="false" ht="15" hidden="false" customHeight="false" outlineLevel="0" collapsed="false">
      <c r="A453" s="29"/>
      <c r="B453" s="30"/>
      <c r="C453" s="30"/>
      <c r="D453" s="30"/>
      <c r="E453" s="16"/>
      <c r="F453" s="30"/>
      <c r="G453" s="30"/>
    </row>
    <row r="454" customFormat="false" ht="15" hidden="false" customHeight="false" outlineLevel="0" collapsed="false">
      <c r="A454" s="29"/>
      <c r="B454" s="30"/>
      <c r="C454" s="30"/>
      <c r="D454" s="30"/>
      <c r="E454" s="16"/>
      <c r="F454" s="30"/>
      <c r="G454" s="30"/>
    </row>
    <row r="455" customFormat="false" ht="15" hidden="false" customHeight="false" outlineLevel="0" collapsed="false">
      <c r="A455" s="29"/>
      <c r="B455" s="30"/>
      <c r="C455" s="30"/>
      <c r="D455" s="30"/>
      <c r="E455" s="16"/>
      <c r="F455" s="30"/>
      <c r="G455" s="30"/>
    </row>
    <row r="456" customFormat="false" ht="15" hidden="false" customHeight="false" outlineLevel="0" collapsed="false">
      <c r="A456" s="29"/>
      <c r="B456" s="30"/>
      <c r="C456" s="30"/>
      <c r="D456" s="30"/>
      <c r="E456" s="16"/>
      <c r="F456" s="30"/>
      <c r="G456" s="30"/>
    </row>
    <row r="457" customFormat="false" ht="15" hidden="false" customHeight="false" outlineLevel="0" collapsed="false">
      <c r="A457" s="29"/>
      <c r="B457" s="30"/>
      <c r="C457" s="30"/>
      <c r="D457" s="30"/>
      <c r="E457" s="16"/>
      <c r="F457" s="30"/>
      <c r="G457" s="30"/>
    </row>
    <row r="458" customFormat="false" ht="15" hidden="false" customHeight="false" outlineLevel="0" collapsed="false">
      <c r="A458" s="29"/>
      <c r="B458" s="30"/>
      <c r="C458" s="30"/>
      <c r="D458" s="30"/>
      <c r="E458" s="16"/>
      <c r="F458" s="30"/>
      <c r="G458" s="30"/>
    </row>
    <row r="459" customFormat="false" ht="15" hidden="false" customHeight="false" outlineLevel="0" collapsed="false">
      <c r="A459" s="29"/>
      <c r="B459" s="30"/>
      <c r="C459" s="30"/>
      <c r="D459" s="30"/>
      <c r="E459" s="16"/>
      <c r="F459" s="30"/>
      <c r="G459" s="30"/>
    </row>
    <row r="460" customFormat="false" ht="15" hidden="false" customHeight="false" outlineLevel="0" collapsed="false">
      <c r="A460" s="29"/>
      <c r="B460" s="30"/>
      <c r="C460" s="30"/>
      <c r="D460" s="30"/>
      <c r="E460" s="16"/>
      <c r="F460" s="30"/>
      <c r="G460" s="30"/>
    </row>
    <row r="461" customFormat="false" ht="15" hidden="false" customHeight="false" outlineLevel="0" collapsed="false">
      <c r="A461" s="29"/>
      <c r="B461" s="30"/>
      <c r="C461" s="30"/>
      <c r="D461" s="30"/>
      <c r="E461" s="16"/>
      <c r="F461" s="30"/>
      <c r="G461" s="30"/>
    </row>
    <row r="462" customFormat="false" ht="15" hidden="false" customHeight="false" outlineLevel="0" collapsed="false">
      <c r="A462" s="29"/>
      <c r="B462" s="30"/>
      <c r="C462" s="30"/>
      <c r="D462" s="30"/>
      <c r="E462" s="16"/>
      <c r="F462" s="30"/>
      <c r="G462" s="30"/>
    </row>
    <row r="463" customFormat="false" ht="15" hidden="false" customHeight="false" outlineLevel="0" collapsed="false">
      <c r="A463" s="29"/>
      <c r="B463" s="30"/>
      <c r="C463" s="30"/>
      <c r="D463" s="30"/>
      <c r="E463" s="16"/>
      <c r="F463" s="30"/>
      <c r="G463" s="30"/>
    </row>
    <row r="464" customFormat="false" ht="15" hidden="false" customHeight="false" outlineLevel="0" collapsed="false">
      <c r="A464" s="29"/>
      <c r="B464" s="30"/>
      <c r="C464" s="30"/>
      <c r="D464" s="30"/>
      <c r="E464" s="16"/>
      <c r="F464" s="30"/>
      <c r="G464" s="30"/>
    </row>
    <row r="465" customFormat="false" ht="15" hidden="false" customHeight="false" outlineLevel="0" collapsed="false">
      <c r="A465" s="29"/>
      <c r="B465" s="30"/>
      <c r="C465" s="30"/>
      <c r="D465" s="30"/>
      <c r="E465" s="16"/>
      <c r="F465" s="30"/>
      <c r="G465" s="30"/>
    </row>
    <row r="466" customFormat="false" ht="15" hidden="false" customHeight="false" outlineLevel="0" collapsed="false">
      <c r="A466" s="29"/>
      <c r="B466" s="30"/>
      <c r="C466" s="30"/>
      <c r="D466" s="30"/>
      <c r="E466" s="16"/>
      <c r="F466" s="30"/>
      <c r="G466" s="30"/>
    </row>
    <row r="467" customFormat="false" ht="15" hidden="false" customHeight="false" outlineLevel="0" collapsed="false">
      <c r="A467" s="29"/>
      <c r="B467" s="30"/>
      <c r="C467" s="30"/>
      <c r="D467" s="30"/>
      <c r="E467" s="16"/>
      <c r="F467" s="30"/>
      <c r="G467" s="30"/>
    </row>
    <row r="468" customFormat="false" ht="15" hidden="false" customHeight="false" outlineLevel="0" collapsed="false">
      <c r="A468" s="29"/>
      <c r="B468" s="30"/>
      <c r="C468" s="30"/>
      <c r="D468" s="30"/>
      <c r="E468" s="16"/>
      <c r="F468" s="30"/>
      <c r="G468" s="30"/>
    </row>
    <row r="469" customFormat="false" ht="15" hidden="false" customHeight="false" outlineLevel="0" collapsed="false">
      <c r="A469" s="29"/>
      <c r="B469" s="30"/>
      <c r="C469" s="30"/>
      <c r="D469" s="30"/>
      <c r="E469" s="16"/>
      <c r="F469" s="30"/>
      <c r="G469" s="30"/>
    </row>
    <row r="470" customFormat="false" ht="15" hidden="false" customHeight="false" outlineLevel="0" collapsed="false">
      <c r="A470" s="29"/>
      <c r="B470" s="30"/>
      <c r="C470" s="30"/>
      <c r="D470" s="30"/>
      <c r="E470" s="16"/>
      <c r="F470" s="30"/>
      <c r="G470" s="30"/>
    </row>
    <row r="471" customFormat="false" ht="15" hidden="false" customHeight="false" outlineLevel="0" collapsed="false">
      <c r="A471" s="29"/>
      <c r="B471" s="30"/>
      <c r="C471" s="30"/>
      <c r="D471" s="30"/>
      <c r="E471" s="16"/>
      <c r="F471" s="30"/>
      <c r="G471" s="30"/>
    </row>
    <row r="472" customFormat="false" ht="15" hidden="false" customHeight="false" outlineLevel="0" collapsed="false">
      <c r="A472" s="29"/>
      <c r="B472" s="30"/>
      <c r="C472" s="30"/>
      <c r="D472" s="30"/>
      <c r="E472" s="16"/>
      <c r="F472" s="30"/>
      <c r="G472" s="30"/>
    </row>
    <row r="473" customFormat="false" ht="15" hidden="false" customHeight="false" outlineLevel="0" collapsed="false">
      <c r="A473" s="29"/>
      <c r="B473" s="30"/>
      <c r="C473" s="30"/>
      <c r="D473" s="30"/>
      <c r="E473" s="16"/>
      <c r="F473" s="30"/>
      <c r="G473" s="30"/>
    </row>
    <row r="474" customFormat="false" ht="15" hidden="false" customHeight="false" outlineLevel="0" collapsed="false">
      <c r="A474" s="29"/>
      <c r="B474" s="30"/>
      <c r="C474" s="30"/>
      <c r="D474" s="30"/>
      <c r="E474" s="16"/>
      <c r="F474" s="30"/>
      <c r="G474" s="30"/>
    </row>
    <row r="475" customFormat="false" ht="15" hidden="false" customHeight="false" outlineLevel="0" collapsed="false">
      <c r="A475" s="29"/>
      <c r="B475" s="30"/>
      <c r="C475" s="30"/>
      <c r="D475" s="30"/>
      <c r="E475" s="16"/>
      <c r="F475" s="30"/>
      <c r="G475" s="30"/>
    </row>
    <row r="476" customFormat="false" ht="15" hidden="false" customHeight="false" outlineLevel="0" collapsed="false">
      <c r="A476" s="29"/>
      <c r="B476" s="30"/>
      <c r="C476" s="30"/>
      <c r="D476" s="30"/>
      <c r="E476" s="16"/>
      <c r="F476" s="30"/>
      <c r="G476" s="30"/>
    </row>
    <row r="477" customFormat="false" ht="15" hidden="false" customHeight="false" outlineLevel="0" collapsed="false">
      <c r="A477" s="29"/>
      <c r="B477" s="30"/>
      <c r="C477" s="30"/>
      <c r="D477" s="30"/>
      <c r="E477" s="16"/>
      <c r="F477" s="30"/>
      <c r="G477" s="30"/>
    </row>
    <row r="478" customFormat="false" ht="15" hidden="false" customHeight="false" outlineLevel="0" collapsed="false">
      <c r="A478" s="29"/>
      <c r="B478" s="30"/>
      <c r="C478" s="30"/>
      <c r="D478" s="30"/>
      <c r="E478" s="16"/>
      <c r="F478" s="30"/>
      <c r="G478" s="30"/>
    </row>
    <row r="479" customFormat="false" ht="15" hidden="false" customHeight="false" outlineLevel="0" collapsed="false">
      <c r="A479" s="29"/>
      <c r="B479" s="30"/>
      <c r="C479" s="30"/>
      <c r="D479" s="30"/>
      <c r="E479" s="16"/>
      <c r="F479" s="30"/>
      <c r="G479" s="30"/>
    </row>
    <row r="480" customFormat="false" ht="15" hidden="false" customHeight="false" outlineLevel="0" collapsed="false">
      <c r="A480" s="29"/>
      <c r="B480" s="30"/>
      <c r="C480" s="30"/>
      <c r="D480" s="30"/>
      <c r="E480" s="16"/>
      <c r="F480" s="30"/>
      <c r="G480" s="30"/>
    </row>
    <row r="481" customFormat="false" ht="15" hidden="false" customHeight="false" outlineLevel="0" collapsed="false">
      <c r="A481" s="29"/>
      <c r="B481" s="30"/>
      <c r="C481" s="30"/>
      <c r="D481" s="30"/>
      <c r="E481" s="16"/>
      <c r="F481" s="30"/>
      <c r="G481" s="30"/>
    </row>
    <row r="482" customFormat="false" ht="15" hidden="false" customHeight="false" outlineLevel="0" collapsed="false">
      <c r="A482" s="29"/>
      <c r="B482" s="30"/>
      <c r="C482" s="30"/>
      <c r="D482" s="30"/>
      <c r="E482" s="16"/>
      <c r="F482" s="30"/>
      <c r="G482" s="30"/>
    </row>
    <row r="483" customFormat="false" ht="15" hidden="false" customHeight="false" outlineLevel="0" collapsed="false">
      <c r="A483" s="29"/>
      <c r="B483" s="30"/>
      <c r="C483" s="30"/>
      <c r="D483" s="30"/>
      <c r="E483" s="16"/>
      <c r="F483" s="30"/>
      <c r="G483" s="30"/>
    </row>
    <row r="484" customFormat="false" ht="15" hidden="false" customHeight="false" outlineLevel="0" collapsed="false">
      <c r="A484" s="29"/>
      <c r="B484" s="30"/>
      <c r="C484" s="30"/>
      <c r="D484" s="30"/>
      <c r="E484" s="16"/>
      <c r="F484" s="30"/>
      <c r="G484" s="30"/>
    </row>
    <row r="485" customFormat="false" ht="15" hidden="false" customHeight="false" outlineLevel="0" collapsed="false">
      <c r="A485" s="29"/>
      <c r="B485" s="30"/>
      <c r="C485" s="30"/>
      <c r="D485" s="30"/>
      <c r="E485" s="16"/>
      <c r="F485" s="30"/>
      <c r="G485" s="30"/>
    </row>
    <row r="486" customFormat="false" ht="15" hidden="false" customHeight="false" outlineLevel="0" collapsed="false">
      <c r="A486" s="29"/>
      <c r="B486" s="30"/>
      <c r="C486" s="30"/>
      <c r="D486" s="30"/>
      <c r="E486" s="16"/>
      <c r="F486" s="30"/>
      <c r="G486" s="30"/>
    </row>
    <row r="487" customFormat="false" ht="15" hidden="false" customHeight="false" outlineLevel="0" collapsed="false">
      <c r="A487" s="29"/>
      <c r="B487" s="30"/>
      <c r="C487" s="30"/>
      <c r="D487" s="30"/>
      <c r="E487" s="16"/>
      <c r="F487" s="30"/>
      <c r="G487" s="30"/>
    </row>
    <row r="488" customFormat="false" ht="15" hidden="false" customHeight="false" outlineLevel="0" collapsed="false">
      <c r="A488" s="29"/>
      <c r="B488" s="30"/>
      <c r="C488" s="30"/>
      <c r="D488" s="30"/>
      <c r="E488" s="16"/>
      <c r="F488" s="30"/>
      <c r="G488" s="30"/>
    </row>
    <row r="489" customFormat="false" ht="15" hidden="false" customHeight="false" outlineLevel="0" collapsed="false">
      <c r="A489" s="29"/>
      <c r="B489" s="30"/>
      <c r="C489" s="30"/>
      <c r="D489" s="30"/>
      <c r="E489" s="16"/>
      <c r="F489" s="30"/>
      <c r="G489" s="30"/>
    </row>
    <row r="490" customFormat="false" ht="15" hidden="false" customHeight="false" outlineLevel="0" collapsed="false">
      <c r="A490" s="29"/>
      <c r="B490" s="30"/>
      <c r="C490" s="30"/>
      <c r="D490" s="30"/>
      <c r="E490" s="16"/>
      <c r="F490" s="30"/>
      <c r="G490" s="30"/>
    </row>
    <row r="491" customFormat="false" ht="15" hidden="false" customHeight="false" outlineLevel="0" collapsed="false">
      <c r="A491" s="29"/>
      <c r="B491" s="30"/>
      <c r="C491" s="30"/>
      <c r="D491" s="30"/>
      <c r="E491" s="16"/>
      <c r="F491" s="30"/>
      <c r="G491" s="30"/>
    </row>
    <row r="492" customFormat="false" ht="15" hidden="false" customHeight="false" outlineLevel="0" collapsed="false">
      <c r="A492" s="29"/>
      <c r="B492" s="30"/>
      <c r="C492" s="30"/>
      <c r="D492" s="30"/>
      <c r="E492" s="16"/>
      <c r="F492" s="30"/>
      <c r="G492" s="30"/>
    </row>
    <row r="493" customFormat="false" ht="15" hidden="false" customHeight="false" outlineLevel="0" collapsed="false">
      <c r="A493" s="29"/>
      <c r="B493" s="30"/>
      <c r="C493" s="30"/>
      <c r="D493" s="30"/>
      <c r="E493" s="16"/>
      <c r="F493" s="30"/>
      <c r="G493" s="30"/>
    </row>
    <row r="494" customFormat="false" ht="15" hidden="false" customHeight="false" outlineLevel="0" collapsed="false">
      <c r="A494" s="29"/>
      <c r="B494" s="30"/>
      <c r="C494" s="30"/>
      <c r="D494" s="30"/>
      <c r="E494" s="16"/>
      <c r="F494" s="30"/>
      <c r="G494" s="30"/>
    </row>
    <row r="495" customFormat="false" ht="15" hidden="false" customHeight="false" outlineLevel="0" collapsed="false">
      <c r="A495" s="29"/>
      <c r="B495" s="30"/>
      <c r="C495" s="30"/>
      <c r="D495" s="30"/>
      <c r="E495" s="16"/>
      <c r="F495" s="30"/>
      <c r="G495" s="30"/>
    </row>
    <row r="496" customFormat="false" ht="15" hidden="false" customHeight="false" outlineLevel="0" collapsed="false">
      <c r="A496" s="29"/>
      <c r="B496" s="30"/>
      <c r="C496" s="30"/>
      <c r="D496" s="30"/>
      <c r="E496" s="16"/>
      <c r="F496" s="30"/>
      <c r="G496" s="30"/>
    </row>
    <row r="497" customFormat="false" ht="15" hidden="false" customHeight="false" outlineLevel="0" collapsed="false">
      <c r="A497" s="29"/>
      <c r="B497" s="30"/>
      <c r="C497" s="30"/>
      <c r="D497" s="30"/>
      <c r="E497" s="16"/>
      <c r="F497" s="30"/>
      <c r="G497" s="30"/>
    </row>
    <row r="498" customFormat="false" ht="15" hidden="false" customHeight="false" outlineLevel="0" collapsed="false">
      <c r="A498" s="29"/>
      <c r="B498" s="30"/>
      <c r="C498" s="30"/>
      <c r="D498" s="30"/>
      <c r="E498" s="16"/>
      <c r="F498" s="30"/>
      <c r="G498" s="30"/>
    </row>
    <row r="499" customFormat="false" ht="15" hidden="false" customHeight="false" outlineLevel="0" collapsed="false">
      <c r="A499" s="29"/>
      <c r="B499" s="30"/>
      <c r="C499" s="30"/>
      <c r="D499" s="30"/>
      <c r="E499" s="16"/>
      <c r="F499" s="30"/>
      <c r="G499" s="30"/>
    </row>
    <row r="500" customFormat="false" ht="15" hidden="false" customHeight="false" outlineLevel="0" collapsed="false">
      <c r="A500" s="29"/>
      <c r="B500" s="30"/>
      <c r="C500" s="30"/>
      <c r="D500" s="30"/>
      <c r="E500" s="16"/>
      <c r="F500" s="30"/>
      <c r="G500" s="30"/>
    </row>
    <row r="501" customFormat="false" ht="15" hidden="false" customHeight="false" outlineLevel="0" collapsed="false">
      <c r="A501" s="29"/>
      <c r="B501" s="30"/>
      <c r="C501" s="30"/>
      <c r="D501" s="30"/>
      <c r="E501" s="16"/>
      <c r="F501" s="30"/>
      <c r="G501" s="30"/>
    </row>
  </sheetData>
  <dataValidations count="1">
    <dataValidation allowBlank="true" errorStyle="stop" operator="between" showDropDown="false" showErrorMessage="false" showInputMessage="false" sqref="F2:F501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2026-10-10T17:20:07Z</dcterms:created>
  <dc:creator>openpyxl</dc:creator>
  <dc:description/>
  <dc:language>en-US</dc:language>
  <cp:lastModifiedBy/>
  <dcterms:modified xsi:type="dcterms:W3CDTF">2026-10-10T17:20:08Z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