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Resumo" sheetId="2" state="visible" r:id="rId4"/>
    <sheet name="Checklist" sheetId="3" state="visible" r:id="rId5"/>
  </sheets>
  <definedNames>
    <definedName function="false" hidden="false" localSheetId="2" name="_xlnm.Print_Titles" vbProcedure="false">Checklist!$3:$3</definedName>
    <definedName function="false" hidden="true" localSheetId="2" name="_xlnm._FilterDatabase" vbProcedure="false">Checklist!$A$3:$N$221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<sst xmlns="http://schemas.openxmlformats.org/spreadsheetml/2006/main" count="1627" uniqueCount="591">
  <si>
    <t xml:space="preserve">Checklist de Omissões e Compatibilização de Projetos</t>
  </si>
  <si>
    <t xml:space="preserve">Moradias e remodelações · v1.0 · Ponto de partida para validação e enriquecimento pelo utilizador</t>
  </si>
  <si>
    <t xml:space="preserve">DADOS DA OBRA</t>
  </si>
  <si>
    <t xml:space="preserve">Obra</t>
  </si>
  <si>
    <t xml:space="preserve">Tipo de obra</t>
  </si>
  <si>
    <t xml:space="preserve">← escolha da lista: filtra automaticamente os pontos aplicáveis (coluna I da Checklist)</t>
  </si>
  <si>
    <t xml:space="preserve">Revisão do projeto analisada</t>
  </si>
  <si>
    <t xml:space="preserve">Data da análise</t>
  </si>
  <si>
    <t xml:space="preserve">Analisado por</t>
  </si>
  <si>
    <t xml:space="preserve">COMO USAR (passo a passo)</t>
  </si>
  <si>
    <t xml:space="preserve">1. Dados da obra</t>
  </si>
  <si>
    <t xml:space="preserve">Preencha as células amarelas acima. O «Tipo de obra» marca como «Não» os pontos que só se aplicam ao outro tipo.</t>
  </si>
  <si>
    <t xml:space="preserve">2. Filtrar</t>
  </si>
  <si>
    <t xml:space="preserve">Na Checklist, filtre a coluna I = «Sim». Trabalhe por especialidade (coluna B).</t>
  </si>
  <si>
    <t xml:space="preserve">3. Verificar</t>
  </si>
  <si>
    <t xml:space="preserve">Para cada ponto, consulte a peça indicada em «Onde verificar» e escolha o Estado (coluna J).</t>
  </si>
  <si>
    <t xml:space="preserve">4. Rastrear</t>
  </si>
  <si>
    <t xml:space="preserve">Para cada «Omisso» ou «A esclarecer», preencha o capítulo/artigo do MQ (K), o desenho/peça (L) e a ação proposta (M).</t>
  </si>
  <si>
    <t xml:space="preserve">5. Valorizar</t>
  </si>
  <si>
    <t xml:space="preserve">Opcional: estime o valor da omissão (N) para medir o impacto no orçamento.</t>
  </si>
  <si>
    <t xml:space="preserve">6. Resumo</t>
  </si>
  <si>
    <t xml:space="preserve">A folha «Resumo» calcula o progresso e as omissões por especialidade e por natureza.</t>
  </si>
  <si>
    <t xml:space="preserve">CÉLULAS A PREENCHER</t>
  </si>
  <si>
    <t xml:space="preserve">Fundo amarelo</t>
  </si>
  <si>
    <t xml:space="preserve">Únicas células de introdução de dados (Dados da obra e colunas J a N da Checklist). As restantes colunas são a base da checklist ou fórmulas.</t>
  </si>
  <si>
    <t xml:space="preserve">ESTADOS (coluna J)</t>
  </si>
  <si>
    <t xml:space="preserve">OK</t>
  </si>
  <si>
    <t xml:space="preserve">Verificado e completo no projeto e no MQ.</t>
  </si>
  <si>
    <t xml:space="preserve">Omisso</t>
  </si>
  <si>
    <t xml:space="preserve">Falta no MQ, falta definição no projeto ou há incompatibilidade confirmada.</t>
  </si>
  <si>
    <t xml:space="preserve">A esclarecer</t>
  </si>
  <si>
    <t xml:space="preserve">Dúvida a colocar ao projetista (pedido de esclarecimento).</t>
  </si>
  <si>
    <t xml:space="preserve">N/A</t>
  </si>
  <si>
    <t xml:space="preserve">Não se aplica a esta obra em concreto.</t>
  </si>
  <si>
    <t xml:space="preserve">(vazio)</t>
  </si>
  <si>
    <t xml:space="preserve">Ainda por verificar.</t>
  </si>
  <si>
    <t xml:space="preserve">NATUREZA (coluna G)</t>
  </si>
  <si>
    <t xml:space="preserve">Omissão no MQ</t>
  </si>
  <si>
    <t xml:space="preserve">O trabalho é necessário mas pode não ter artigo no mapa de quantidades.</t>
  </si>
  <si>
    <t xml:space="preserve">Omissão de projeto</t>
  </si>
  <si>
    <t xml:space="preserve">Falta uma definição técnica, peça desenhada ou estudo.</t>
  </si>
  <si>
    <t xml:space="preserve">Compatibilização</t>
  </si>
  <si>
    <t xml:space="preserve">Interface entre especialidades: verificar que as peças dizem o mesmo e não colidem.</t>
  </si>
  <si>
    <t xml:space="preserve">GRAVIDADE TÍPICA (coluna H)</t>
  </si>
  <si>
    <t xml:space="preserve">Alta</t>
  </si>
  <si>
    <t xml:space="preserve">Impacto relevante no custo, no prazo ou no desempenho/segurança, ou retrabalho difícil.</t>
  </si>
  <si>
    <t xml:space="preserve">Média</t>
  </si>
  <si>
    <t xml:space="preserve">Impacto moderado, resolúvel em obra com custo controlado.</t>
  </si>
  <si>
    <t xml:space="preserve">Baixa</t>
  </si>
  <si>
    <t xml:space="preserve">Impacto reduzido ou facilmente absorvido.</t>
  </si>
  <si>
    <t xml:space="preserve">A gravidade é indicativa: ajuste-a caso a caso no campo de observações.</t>
  </si>
  <si>
    <t xml:space="preserve">EXEMPLO DE LINHA PREENCHIDA</t>
  </si>
  <si>
    <t xml:space="preserve">ID</t>
  </si>
  <si>
    <t xml:space="preserve">ARQ-13</t>
  </si>
  <si>
    <t xml:space="preserve">Ponto de verificação</t>
  </si>
  <si>
    <t xml:space="preserve">Zonas de duche, bases de banheira e pavimentos de casas de banho</t>
  </si>
  <si>
    <t xml:space="preserve">Estado</t>
  </si>
  <si>
    <t xml:space="preserve">Capítulo/Artigo MQ</t>
  </si>
  <si>
    <t xml:space="preserve">Cap. 7 – Revestimentos (sem artigo)</t>
  </si>
  <si>
    <t xml:space="preserve">Desenho/Peça</t>
  </si>
  <si>
    <t xml:space="preserve">ARQ-05 Rev.B – Planta piso 1</t>
  </si>
  <si>
    <t xml:space="preserve">Observações / Ação proposta</t>
  </si>
  <si>
    <t xml:space="preserve">Sem artigo de impermeabilização sob duches à face; pedir artigo ao projetista e confirmar rebaixo na EST-03.</t>
  </si>
  <si>
    <t xml:space="preserve">Valor estimado (€)</t>
  </si>
  <si>
    <t xml:space="preserve">Nota</t>
  </si>
  <si>
    <t xml:space="preserve">Checklist genérica elaborada com base em boas práticas de construção em Portugal. Não substitui a verificação regulamentar específica de cada projeto. Deve ser enriquecida com a experiência do utilizador (acrescentar linhas no fim da Checklist, mantendo o formato do ID).</t>
  </si>
  <si>
    <t xml:space="preserve">RESUMO DA VERIFICAÇÃO</t>
  </si>
  <si>
    <t xml:space="preserve">Especialidade</t>
  </si>
  <si>
    <t xml:space="preserve">Pontos aplicáveis</t>
  </si>
  <si>
    <t xml:space="preserve">Por verificar</t>
  </si>
  <si>
    <t xml:space="preserve">% verificado</t>
  </si>
  <si>
    <t xml:space="preserve">Omissões gravidade Alta</t>
  </si>
  <si>
    <t xml:space="preserve">Gerais e Estaleiro</t>
  </si>
  <si>
    <t xml:space="preserve">Demolições e Trabalhos Preparatórios</t>
  </si>
  <si>
    <t xml:space="preserve">Movimento de Terras e Fundações</t>
  </si>
  <si>
    <t xml:space="preserve">Estruturas</t>
  </si>
  <si>
    <t xml:space="preserve">Arquitetura</t>
  </si>
  <si>
    <t xml:space="preserve">Águas (Abastecimento)</t>
  </si>
  <si>
    <t xml:space="preserve">Esgotos Domésticos</t>
  </si>
  <si>
    <t xml:space="preserve">Águas Pluviais</t>
  </si>
  <si>
    <t xml:space="preserve">Eletricidade</t>
  </si>
  <si>
    <t xml:space="preserve">ITED</t>
  </si>
  <si>
    <t xml:space="preserve">Gás</t>
  </si>
  <si>
    <t xml:space="preserve">AVAC e Ventilação</t>
  </si>
  <si>
    <t xml:space="preserve">Térmica (SCE)</t>
  </si>
  <si>
    <t xml:space="preserve">Acústica</t>
  </si>
  <si>
    <t xml:space="preserve">SCIE</t>
  </si>
  <si>
    <t xml:space="preserve">Arranjos Exteriores</t>
  </si>
  <si>
    <t xml:space="preserve">Licenças e Documentação</t>
  </si>
  <si>
    <t xml:space="preserve">TOTAL</t>
  </si>
  <si>
    <t xml:space="preserve">POR NATUREZA</t>
  </si>
  <si>
    <t xml:space="preserve">Natureza</t>
  </si>
  <si>
    <t xml:space="preserve">Fórmulas: contagens com COUNTIFS sobre a folha Checklist, considerando apenas pontos com «Aplicável nesta obra» = Sim. «Por verificar» = aplicáveis − (OK + Omisso + A esclarecer + N/A).</t>
  </si>
  <si>
    <t xml:space="preserve">CHECKLIST DE OMISSÕES E COMPATIBILIZAÇÃO</t>
  </si>
  <si>
    <t xml:space="preserve">Grupo</t>
  </si>
  <si>
    <t xml:space="preserve">Aplica-se a</t>
  </si>
  <si>
    <t xml:space="preserve">Onde verificar</t>
  </si>
  <si>
    <t xml:space="preserve">Gravidade típica</t>
  </si>
  <si>
    <t xml:space="preserve">Aplicável nesta obra</t>
  </si>
  <si>
    <t xml:space="preserve">Capítulo / Artigo do MQ</t>
  </si>
  <si>
    <t xml:space="preserve">Desenho / Peça de referência</t>
  </si>
  <si>
    <t xml:space="preserve">GER-01</t>
  </si>
  <si>
    <t xml:space="preserve">Estaleiro</t>
  </si>
  <si>
    <t xml:space="preserve">Montagem, manutenção e desmontagem do estaleiro (instalações, vedação, sinalização)</t>
  </si>
  <si>
    <t xml:space="preserve">Ambas</t>
  </si>
  <si>
    <t xml:space="preserve">MQ</t>
  </si>
  <si>
    <t xml:space="preserve">GER-02</t>
  </si>
  <si>
    <t xml:space="preserve">Ligações provisórias de água, eletricidade e esgoto de obra e respetivos consumos</t>
  </si>
  <si>
    <t xml:space="preserve">GER-03</t>
  </si>
  <si>
    <t xml:space="preserve">Andaimes e plataformas de trabalho para fachadas e cobertura</t>
  </si>
  <si>
    <t xml:space="preserve">GER-04</t>
  </si>
  <si>
    <t xml:space="preserve">Meios de elevação (grua/monta-cargas) e licença de ocupação da via pública</t>
  </si>
  <si>
    <t xml:space="preserve">GER-05</t>
  </si>
  <si>
    <t xml:space="preserve">Implantação topográfica e piquetagem da obra</t>
  </si>
  <si>
    <t xml:space="preserve">Construção nova</t>
  </si>
  <si>
    <t xml:space="preserve">GER-06</t>
  </si>
  <si>
    <t xml:space="preserve">Segurança e ambiente</t>
  </si>
  <si>
    <t xml:space="preserve">Implementação do Plano de Segurança e Saúde (EPC, sinalização, proteções coletivas)</t>
  </si>
  <si>
    <t xml:space="preserve">MQ / CTE</t>
  </si>
  <si>
    <t xml:space="preserve">GER-07</t>
  </si>
  <si>
    <t xml:space="preserve">Plano de Prevenção e Gestão de RCD, triagem, transporte e deposição em operador licenciado</t>
  </si>
  <si>
    <t xml:space="preserve">GER-08</t>
  </si>
  <si>
    <t xml:space="preserve">Proteção de construções vizinhas, vistoria prévia e registo fotográfico</t>
  </si>
  <si>
    <t xml:space="preserve">MQ / MD</t>
  </si>
  <si>
    <t xml:space="preserve">GER-09</t>
  </si>
  <si>
    <t xml:space="preserve">Finalização</t>
  </si>
  <si>
    <t xml:space="preserve">Limpezas periódicas e limpeza final da obra</t>
  </si>
  <si>
    <t xml:space="preserve">GER-10</t>
  </si>
  <si>
    <t xml:space="preserve">Telas finais, compilação técnica e manuais de utilização e manutenção</t>
  </si>
  <si>
    <t xml:space="preserve">GER-11</t>
  </si>
  <si>
    <t xml:space="preserve">Coerência documental</t>
  </si>
  <si>
    <t xml:space="preserve">Descrições e unidades do MQ coerentes com a memória descritiva e o caderno de encargos</t>
  </si>
  <si>
    <t xml:space="preserve">MQ / CTE / MD</t>
  </si>
  <si>
    <t xml:space="preserve">GER-12</t>
  </si>
  <si>
    <t xml:space="preserve">Todas as especialidades desenvolvidas sobre a mesma revisão de arquitetura</t>
  </si>
  <si>
    <t xml:space="preserve">Legendas dos desenhos</t>
  </si>
  <si>
    <t xml:space="preserve">GER-13</t>
  </si>
  <si>
    <t xml:space="preserve">Critérios de medição definidos e coerentes com as unidades do MQ</t>
  </si>
  <si>
    <t xml:space="preserve">DEM-01</t>
  </si>
  <si>
    <t xml:space="preserve">Levantamento</t>
  </si>
  <si>
    <t xml:space="preserve">Levantamento do existente e planta de demolições/construções (amarelos e vermelhos)</t>
  </si>
  <si>
    <t xml:space="preserve">Remodelação</t>
  </si>
  <si>
    <t xml:space="preserve">Peças desenhadas</t>
  </si>
  <si>
    <t xml:space="preserve">DEM-02</t>
  </si>
  <si>
    <t xml:space="preserve">Diagnóstico e tratamento de patologias existentes (humidade ascensional, infiltrações, fissuras)</t>
  </si>
  <si>
    <t xml:space="preserve">MD / MQ</t>
  </si>
  <si>
    <t xml:space="preserve">DEM-03</t>
  </si>
  <si>
    <t xml:space="preserve">Demolições</t>
  </si>
  <si>
    <t xml:space="preserve">Demolição de paredes com confirmação de que não são resistentes (ou solução de reforço)</t>
  </si>
  <si>
    <t xml:space="preserve">Arquitetura × Estruturas</t>
  </si>
  <si>
    <t xml:space="preserve">DEM-04</t>
  </si>
  <si>
    <t xml:space="preserve">Escoramentos provisórios durante as demolições e aberturas de vãos</t>
  </si>
  <si>
    <t xml:space="preserve">MQ / Estruturas</t>
  </si>
  <si>
    <t xml:space="preserve">DEM-05</t>
  </si>
  <si>
    <t xml:space="preserve">Remoção de revestimentos de pavimentos, paredes e tetos até à base</t>
  </si>
  <si>
    <t xml:space="preserve">DEM-06</t>
  </si>
  <si>
    <t xml:space="preserve">Remoção de caixilharias, portas, loiças sanitárias e móveis de cozinha existentes</t>
  </si>
  <si>
    <t xml:space="preserve">DEM-07</t>
  </si>
  <si>
    <t xml:space="preserve">Desativação e remoção das redes existentes (água, esgoto, eletricidade, gás)</t>
  </si>
  <si>
    <t xml:space="preserve">DEM-08</t>
  </si>
  <si>
    <t xml:space="preserve">Identificação e remoção de materiais com amianto (ex.: fibrocimento) por empresa habilitada</t>
  </si>
  <si>
    <t xml:space="preserve">DEM-09</t>
  </si>
  <si>
    <t xml:space="preserve">Preparação</t>
  </si>
  <si>
    <t xml:space="preserve">Picagem, regularização e reparação de suportes após as demolições</t>
  </si>
  <si>
    <t xml:space="preserve">DEM-10</t>
  </si>
  <si>
    <t xml:space="preserve">Elementos a manter e proteger durante a obra (cantarias, pavimentos, carpintarias)</t>
  </si>
  <si>
    <t xml:space="preserve">DEM-11</t>
  </si>
  <si>
    <t xml:space="preserve">Proteção de zonas ocupadas e mobiliário, se a habitação se mantiver habitada</t>
  </si>
  <si>
    <t xml:space="preserve">MTF-01</t>
  </si>
  <si>
    <t xml:space="preserve">Estudos</t>
  </si>
  <si>
    <t xml:space="preserve">Estudo geotécnico existente e coerente com a solução de fundações adotada</t>
  </si>
  <si>
    <t xml:space="preserve">Estruturas / MD</t>
  </si>
  <si>
    <t xml:space="preserve">MTF-02</t>
  </si>
  <si>
    <t xml:space="preserve">Escavações</t>
  </si>
  <si>
    <t xml:space="preserve">Desmatação e decapagem de terra vegetal (e armazenamento para reutilização)</t>
  </si>
  <si>
    <t xml:space="preserve">MTF-03</t>
  </si>
  <si>
    <t xml:space="preserve">Escavação geral e de caboucos, distinguindo terreno brando e rocha</t>
  </si>
  <si>
    <t xml:space="preserve">MTF-04</t>
  </si>
  <si>
    <t xml:space="preserve">Contenção periférica/entivação e proteção de muros e fundações de vizinhos</t>
  </si>
  <si>
    <t xml:space="preserve">MTF-05</t>
  </si>
  <si>
    <t xml:space="preserve">Rebaixamento do nível freático e bombagem</t>
  </si>
  <si>
    <t xml:space="preserve">MTF-06</t>
  </si>
  <si>
    <t xml:space="preserve">Transporte de terras sobrantes a vazadouro e respetivas taxas</t>
  </si>
  <si>
    <t xml:space="preserve">MTF-07</t>
  </si>
  <si>
    <t xml:space="preserve">Aterros</t>
  </si>
  <si>
    <t xml:space="preserve">Aterros com material selecionado, compactação e ensaios de compactação</t>
  </si>
  <si>
    <t xml:space="preserve">MTF-08</t>
  </si>
  <si>
    <t xml:space="preserve">Caixa de brita/enrocamento e membrana sob lajes térreas</t>
  </si>
  <si>
    <t xml:space="preserve">MTF-09</t>
  </si>
  <si>
    <t xml:space="preserve">Fundações</t>
  </si>
  <si>
    <t xml:space="preserve">Betão de limpeza sob sapatas e vigas de fundação</t>
  </si>
  <si>
    <t xml:space="preserve">MTF-10</t>
  </si>
  <si>
    <t xml:space="preserve">Drenagem</t>
  </si>
  <si>
    <t xml:space="preserve">Drenagem periférica de fundações e muros (tubo dreno, geotêxtil, brita)</t>
  </si>
  <si>
    <t xml:space="preserve">MQ / Pluviais</t>
  </si>
  <si>
    <t xml:space="preserve">MTF-11</t>
  </si>
  <si>
    <t xml:space="preserve">Valas</t>
  </si>
  <si>
    <t xml:space="preserve">Valas para redes enterradas (escavação, almofada de areia, aterro e reposição de pavimento)</t>
  </si>
  <si>
    <t xml:space="preserve">EST-01</t>
  </si>
  <si>
    <t xml:space="preserve">Materiais</t>
  </si>
  <si>
    <t xml:space="preserve">Classes de betão, aço e de exposição ambiental definidas e iguais nos desenhos e no MQ</t>
  </si>
  <si>
    <t xml:space="preserve">Estruturas / MQ</t>
  </si>
  <si>
    <t xml:space="preserve">EST-02</t>
  </si>
  <si>
    <t xml:space="preserve">Quantidades</t>
  </si>
  <si>
    <t xml:space="preserve">Volumes de betão por elemento (sapatas, vigas, pilares, lajes, muros) conferidos com os desenhos</t>
  </si>
  <si>
    <t xml:space="preserve">MQ × Desenhos</t>
  </si>
  <si>
    <t xml:space="preserve">EST-03</t>
  </si>
  <si>
    <t xml:space="preserve">Taxa de armadura (kg/m³) plausível por tipo de elemento</t>
  </si>
  <si>
    <t xml:space="preserve">EST-04</t>
  </si>
  <si>
    <t xml:space="preserve">Cofragens medidas, incluindo cofragem perdida e faces de betão à vista</t>
  </si>
  <si>
    <t xml:space="preserve">EST-05</t>
  </si>
  <si>
    <t xml:space="preserve">Escadas, patamares e rampas estruturais medidos</t>
  </si>
  <si>
    <t xml:space="preserve">EST-06</t>
  </si>
  <si>
    <t xml:space="preserve">Lajes aligeiradas: tipo de vigota/abobadilha e lajeta de compressão coerentes entre peças</t>
  </si>
  <si>
    <t xml:space="preserve">EST-07</t>
  </si>
  <si>
    <t xml:space="preserve">Lintéis/vergas sobre vãos em alvenaria</t>
  </si>
  <si>
    <t xml:space="preserve">EST-08</t>
  </si>
  <si>
    <t xml:space="preserve">Muros</t>
  </si>
  <si>
    <t xml:space="preserve">Muros de suporte com impermeabilização, drenagem e juntas previstas</t>
  </si>
  <si>
    <t xml:space="preserve">EST-09</t>
  </si>
  <si>
    <t xml:space="preserve">Cotas coerentes entre arquitetura e estruturas (pés-direitos, espessura de laje + pavimento)</t>
  </si>
  <si>
    <t xml:space="preserve">EST-10</t>
  </si>
  <si>
    <t xml:space="preserve">Pilares e vigas que colidem com vãos, portas, escadas ou zonas de circulação</t>
  </si>
  <si>
    <t xml:space="preserve">EST-11</t>
  </si>
  <si>
    <t xml:space="preserve">Rebaixos de laje em casas de banho (duches à face), varandas e terraços</t>
  </si>
  <si>
    <t xml:space="preserve">EST-12</t>
  </si>
  <si>
    <t xml:space="preserve">Negativos/aberturas em lajes e vigas para tubos de queda, condutas e chaminés</t>
  </si>
  <si>
    <t xml:space="preserve">Estruturas × Redes</t>
  </si>
  <si>
    <t xml:space="preserve">EST-13</t>
  </si>
  <si>
    <t xml:space="preserve">Platibandas, palas, consolas e elementos de betão aparente presentes em ambas as especialidades</t>
  </si>
  <si>
    <t xml:space="preserve">EST-14</t>
  </si>
  <si>
    <t xml:space="preserve">Maciços/bases para equipamentos (bomba de calor, depósitos, painéis solares)</t>
  </si>
  <si>
    <t xml:space="preserve">Estruturas × AVAC</t>
  </si>
  <si>
    <t xml:space="preserve">EST-15</t>
  </si>
  <si>
    <t xml:space="preserve">Metálicas</t>
  </si>
  <si>
    <t xml:space="preserve">Estruturas metálicas: proteção anticorrosiva e ao fogo, ligações e chumbadouros</t>
  </si>
  <si>
    <t xml:space="preserve">EST-16</t>
  </si>
  <si>
    <t xml:space="preserve">Reforço</t>
  </si>
  <si>
    <t xml:space="preserve">Reforço de elementos existentes (pavimentos de madeira, lintéis em novas aberturas)</t>
  </si>
  <si>
    <t xml:space="preserve">EST-17</t>
  </si>
  <si>
    <t xml:space="preserve">Pormenores</t>
  </si>
  <si>
    <t xml:space="preserve">Juntas de dilatação e respetivo tratamento</t>
  </si>
  <si>
    <t xml:space="preserve">Estruturas / Arquitetura</t>
  </si>
  <si>
    <t xml:space="preserve">EST-18</t>
  </si>
  <si>
    <t xml:space="preserve">Controlo</t>
  </si>
  <si>
    <t xml:space="preserve">Ensaios de betão e controlo de qualidade</t>
  </si>
  <si>
    <t xml:space="preserve">ARQ-01</t>
  </si>
  <si>
    <t xml:space="preserve">Alvenarias</t>
  </si>
  <si>
    <t xml:space="preserve">Alvenarias exteriores e interiores por tipo/espessura, com dedução de vãos segundo o critério de medição</t>
  </si>
  <si>
    <t xml:space="preserve">ARQ-02</t>
  </si>
  <si>
    <t xml:space="preserve">Correção de pontes térmicas em topos de laje, pilares e vigas</t>
  </si>
  <si>
    <t xml:space="preserve">Arquitetura × Térmica</t>
  </si>
  <si>
    <t xml:space="preserve">ARQ-03</t>
  </si>
  <si>
    <t xml:space="preserve">Divisórias em gesso cartonado: estrutura, isolamento e placas hidrófugas em zonas húmidas</t>
  </si>
  <si>
    <t xml:space="preserve">ARQ-04</t>
  </si>
  <si>
    <t xml:space="preserve">Reforços para suspensão de móveis e loiças suspensas em paredes de gesso cartonado</t>
  </si>
  <si>
    <t xml:space="preserve">ARQ-05</t>
  </si>
  <si>
    <t xml:space="preserve">Revestimentos</t>
  </si>
  <si>
    <t xml:space="preserve">Rebocos/estuques em todas as faces de paredes e tetos (interiores e exteriores)</t>
  </si>
  <si>
    <t xml:space="preserve">ARQ-06</t>
  </si>
  <si>
    <t xml:space="preserve">Tetos falsos e sancas, incluindo alçapões de visita</t>
  </si>
  <si>
    <t xml:space="preserve">ARQ-07</t>
  </si>
  <si>
    <t xml:space="preserve">Betonilhas de regularização/enchimento com espessura coerente com o pavimento final</t>
  </si>
  <si>
    <t xml:space="preserve">ARQ-08</t>
  </si>
  <si>
    <t xml:space="preserve">Rodapés, soleiras, peitoris e capeamentos</t>
  </si>
  <si>
    <t xml:space="preserve">ARQ-09</t>
  </si>
  <si>
    <t xml:space="preserve">Perfis de remate, cantoneiras e juntas em cerâmicos e pedra</t>
  </si>
  <si>
    <t xml:space="preserve">ARQ-10</t>
  </si>
  <si>
    <t xml:space="preserve">Revestimento de escadas (cobertor, espelho, rodapé, focinho antiderrapante)</t>
  </si>
  <si>
    <t xml:space="preserve">ARQ-11</t>
  </si>
  <si>
    <t xml:space="preserve">Mapa de acabamentos coerente com as plantas e o MQ</t>
  </si>
  <si>
    <t xml:space="preserve">Arquitetura × MQ</t>
  </si>
  <si>
    <t xml:space="preserve">ARQ-12</t>
  </si>
  <si>
    <t xml:space="preserve">Impermeabilizações</t>
  </si>
  <si>
    <t xml:space="preserve">Coberturas planas e terraços, incluindo remates em platibandas, soleiras e rufos</t>
  </si>
  <si>
    <t xml:space="preserve">ARQ-14</t>
  </si>
  <si>
    <t xml:space="preserve">Paredes enterradas e lajes térreas</t>
  </si>
  <si>
    <t xml:space="preserve">ARQ-15</t>
  </si>
  <si>
    <t xml:space="preserve">Varandas e floreiras</t>
  </si>
  <si>
    <t xml:space="preserve">ARQ-16</t>
  </si>
  <si>
    <t xml:space="preserve">Barreira contra humidade ascensional na base das paredes</t>
  </si>
  <si>
    <t xml:space="preserve">ARQ-17</t>
  </si>
  <si>
    <t xml:space="preserve">Coberturas</t>
  </si>
  <si>
    <t xml:space="preserve">Cobertura inclinada: estrutura, subtelha/membrana, ripado, telha, cumeeiras e beirados</t>
  </si>
  <si>
    <t xml:space="preserve">ARQ-18</t>
  </si>
  <si>
    <t xml:space="preserve">Rufos, caleiras, algerozes e tubos de queda</t>
  </si>
  <si>
    <t xml:space="preserve">MQ × Pluviais</t>
  </si>
  <si>
    <t xml:space="preserve">ARQ-19</t>
  </si>
  <si>
    <t xml:space="preserve">Isolamento térmico da cobertura com espessura igual à do estudo térmico</t>
  </si>
  <si>
    <t xml:space="preserve">ARQ-20</t>
  </si>
  <si>
    <t xml:space="preserve">Pendentes e enchimentos de coberturas planas</t>
  </si>
  <si>
    <t xml:space="preserve">ARQ-21</t>
  </si>
  <si>
    <t xml:space="preserve">Acesso à cobertura (alçapão, escada) e linha de vida para manutenção</t>
  </si>
  <si>
    <t xml:space="preserve">ARQ-22</t>
  </si>
  <si>
    <t xml:space="preserve">Atravessamentos da cobertura (ventilação, exaustão, chaminés, solares) com remates</t>
  </si>
  <si>
    <t xml:space="preserve">Arquitetura × AVAC</t>
  </si>
  <si>
    <t xml:space="preserve">ARQ-23</t>
  </si>
  <si>
    <t xml:space="preserve">Fachadas</t>
  </si>
  <si>
    <t xml:space="preserve">ETICS: isolamento, rede, perfis de arranque, cantoneiras e reforços nos cantos dos vãos</t>
  </si>
  <si>
    <t xml:space="preserve">ARQ-24</t>
  </si>
  <si>
    <t xml:space="preserve">Fachada ventilada/revestimento pétreo: subestrutura e fixações</t>
  </si>
  <si>
    <t xml:space="preserve">ARQ-25</t>
  </si>
  <si>
    <t xml:space="preserve">Pinturas exteriores com primário adequado ao suporte</t>
  </si>
  <si>
    <t xml:space="preserve">ARQ-26</t>
  </si>
  <si>
    <t xml:space="preserve">Vãos</t>
  </si>
  <si>
    <t xml:space="preserve">Mapa de vãos coerente com plantas, alçados e cortes (quantidades, dimensões, sentidos de abertura)</t>
  </si>
  <si>
    <t xml:space="preserve">ARQ-27</t>
  </si>
  <si>
    <t xml:space="preserve">Caixilharias com Uw, vidro e classe de permeabilidade iguais às da térmica e da acústica</t>
  </si>
  <si>
    <t xml:space="preserve">Arquitetura × Térmica × Acústica</t>
  </si>
  <si>
    <t xml:space="preserve">ARQ-28</t>
  </si>
  <si>
    <t xml:space="preserve">Sombreamentos (estores, caixas de estore, motorização) e respetiva alimentação elétrica</t>
  </si>
  <si>
    <t xml:space="preserve">Arquitetura × Eletricidade</t>
  </si>
  <si>
    <t xml:space="preserve">ARQ-29</t>
  </si>
  <si>
    <t xml:space="preserve">Pré-aros, tratamento perimetral dos vãos e peitoris com pingadeira</t>
  </si>
  <si>
    <t xml:space="preserve">ARQ-30</t>
  </si>
  <si>
    <t xml:space="preserve">Portas interiores (aros, guarnições, ferragens) e porta de entrada de segurança</t>
  </si>
  <si>
    <t xml:space="preserve">ARQ-31</t>
  </si>
  <si>
    <t xml:space="preserve">Grelhas de admissão de ar em caixilharias ou paredes</t>
  </si>
  <si>
    <t xml:space="preserve">ARQ-32</t>
  </si>
  <si>
    <t xml:space="preserve">Carpintarias e serralharias</t>
  </si>
  <si>
    <t xml:space="preserve">Cozinha (móveis, bancada, eletrodomésticos) e roupeiros: incluídos ou excluídos explicitamente</t>
  </si>
  <si>
    <t xml:space="preserve">ARQ-33</t>
  </si>
  <si>
    <t xml:space="preserve">Guardas de escadas, varandas e terraços com altura regulamentar</t>
  </si>
  <si>
    <t xml:space="preserve">ARQ-34</t>
  </si>
  <si>
    <t xml:space="preserve">Corrimãos</t>
  </si>
  <si>
    <t xml:space="preserve">ARQ-35</t>
  </si>
  <si>
    <t xml:space="preserve">Portões, vedações e caixa de correio</t>
  </si>
  <si>
    <t xml:space="preserve">ARQ-36</t>
  </si>
  <si>
    <t xml:space="preserve">Pinturas</t>
  </si>
  <si>
    <t xml:space="preserve">Pintura interior de paredes e tetos (incluindo tetos falsos)</t>
  </si>
  <si>
    <t xml:space="preserve">ARQ-37</t>
  </si>
  <si>
    <t xml:space="preserve">Envernizamento/lacagem de carpintarias e tratamento de elementos metálicos</t>
  </si>
  <si>
    <t xml:space="preserve">ARQ-38</t>
  </si>
  <si>
    <t xml:space="preserve">Equipamento sanitário</t>
  </si>
  <si>
    <t xml:space="preserve">Loiças, bases de duche, resguardos e torneiras (marca/gama ou valor de referência)</t>
  </si>
  <si>
    <t xml:space="preserve">ARQ-39</t>
  </si>
  <si>
    <t xml:space="preserve">Acessórios de casa de banho e espelhos</t>
  </si>
  <si>
    <t xml:space="preserve">ARQ-40</t>
  </si>
  <si>
    <t xml:space="preserve">Diversos</t>
  </si>
  <si>
    <t xml:space="preserve">Pé-direito mínimo regulamentar garantido após teto falso e condutas</t>
  </si>
  <si>
    <t xml:space="preserve">ARQ-41</t>
  </si>
  <si>
    <t xml:space="preserve">Quadro de áreas coerente com as plantas</t>
  </si>
  <si>
    <t xml:space="preserve">ARQ-42</t>
  </si>
  <si>
    <t xml:space="preserve">Lareira/recuperador: conduta de fumos, remate na cobertura e ar de combustão</t>
  </si>
  <si>
    <t xml:space="preserve">AAG-01</t>
  </si>
  <si>
    <t xml:space="preserve">Ligação</t>
  </si>
  <si>
    <t xml:space="preserve">Ramal de ligação à rede pública, nicho/contador e taxas da entidade gestora</t>
  </si>
  <si>
    <t xml:space="preserve">AAG-02</t>
  </si>
  <si>
    <t xml:space="preserve">Rede</t>
  </si>
  <si>
    <t xml:space="preserve">Rede de água fria e quente com traçado e diâmetros definidos</t>
  </si>
  <si>
    <t xml:space="preserve">Águas</t>
  </si>
  <si>
    <t xml:space="preserve">AAG-03</t>
  </si>
  <si>
    <t xml:space="preserve">Isolamento térmico das tubagens de água quente (e retorno)</t>
  </si>
  <si>
    <t xml:space="preserve">AAG-04</t>
  </si>
  <si>
    <t xml:space="preserve">Rede de retorno de AQS, quando a distância ao produtor o justifique</t>
  </si>
  <si>
    <t xml:space="preserve">Águas × AVAC</t>
  </si>
  <si>
    <t xml:space="preserve">AAG-05</t>
  </si>
  <si>
    <t xml:space="preserve">Válvulas de seccionamento por compartimento/zona</t>
  </si>
  <si>
    <t xml:space="preserve">AAG-06</t>
  </si>
  <si>
    <t xml:space="preserve">Redutor de pressão e filtro na entrada da instalação</t>
  </si>
  <si>
    <t xml:space="preserve">AAG-07</t>
  </si>
  <si>
    <t xml:space="preserve">Pontos de utilização</t>
  </si>
  <si>
    <t xml:space="preserve">Pontos de água para todos os equipamentos (máquinas, frigorífico, torneiras de jardim)</t>
  </si>
  <si>
    <t xml:space="preserve">Arquitetura × Águas</t>
  </si>
  <si>
    <t xml:space="preserve">AAG-08</t>
  </si>
  <si>
    <t xml:space="preserve">Equipamentos</t>
  </si>
  <si>
    <t xml:space="preserve">Produção de AQS (bomba de calor/solar térmico) ligada à rede e coerente com a térmica</t>
  </si>
  <si>
    <t xml:space="preserve">Águas × AVAC × Térmica</t>
  </si>
  <si>
    <t xml:space="preserve">AAG-09</t>
  </si>
  <si>
    <t xml:space="preserve">Grupo hidropressor/reservatório, quando necessário</t>
  </si>
  <si>
    <t xml:space="preserve">AAG-10</t>
  </si>
  <si>
    <t xml:space="preserve">Exterior</t>
  </si>
  <si>
    <t xml:space="preserve">Rede de rega</t>
  </si>
  <si>
    <t xml:space="preserve">AAG-11</t>
  </si>
  <si>
    <t xml:space="preserve">Ensaios</t>
  </si>
  <si>
    <t xml:space="preserve">Ensaios de estanquidade e desinfeção da rede</t>
  </si>
  <si>
    <t xml:space="preserve">ESG-01</t>
  </si>
  <si>
    <t xml:space="preserve">Ramal de ligação à rede pública e câmara de ramal</t>
  </si>
  <si>
    <t xml:space="preserve">ESG-02</t>
  </si>
  <si>
    <t xml:space="preserve">Estação elevatória, se a soleira estiver abaixo do coletor público</t>
  </si>
  <si>
    <t xml:space="preserve">Esgotos</t>
  </si>
  <si>
    <t xml:space="preserve">ESG-03</t>
  </si>
  <si>
    <t xml:space="preserve">Fossa séptica/ETAR compacta e órgão de infiltração (sem rede pública)</t>
  </si>
  <si>
    <t xml:space="preserve">ESG-04</t>
  </si>
  <si>
    <t xml:space="preserve">Tubos de queda compatíveis com estrutura e arquitetura (atravessamento de vigas/lajes)</t>
  </si>
  <si>
    <t xml:space="preserve">Estruturas × Esgotos</t>
  </si>
  <si>
    <t xml:space="preserve">ESG-05</t>
  </si>
  <si>
    <t xml:space="preserve">Inclinações dos coletores compatíveis com espessuras de pavimento/teto falso</t>
  </si>
  <si>
    <t xml:space="preserve">Arquitetura × Esgotos</t>
  </si>
  <si>
    <t xml:space="preserve">ESG-06</t>
  </si>
  <si>
    <t xml:space="preserve">Ventilação primária dos tubos de queda prolongada até à cobertura</t>
  </si>
  <si>
    <t xml:space="preserve">Esgotos × Arquitetura</t>
  </si>
  <si>
    <t xml:space="preserve">ESG-07</t>
  </si>
  <si>
    <t xml:space="preserve">Isolamento acústico dos tubos de queda junto a compartimentos habitáveis</t>
  </si>
  <si>
    <t xml:space="preserve">Esgotos × Acústica</t>
  </si>
  <si>
    <t xml:space="preserve">ESG-08</t>
  </si>
  <si>
    <t xml:space="preserve">Caixas de visita e de pavimento</t>
  </si>
  <si>
    <t xml:space="preserve">ESG-09</t>
  </si>
  <si>
    <t xml:space="preserve">Ralos e sifões em zonas húmidas, lavandaria e garagem</t>
  </si>
  <si>
    <t xml:space="preserve">ESG-10</t>
  </si>
  <si>
    <t xml:space="preserve">Câmara retentora de gorduras (se aplicável)</t>
  </si>
  <si>
    <t xml:space="preserve">ESG-11</t>
  </si>
  <si>
    <t xml:space="preserve">Ensaios de estanquidade</t>
  </si>
  <si>
    <t xml:space="preserve">PLU-01</t>
  </si>
  <si>
    <t xml:space="preserve">Destino final definido (rede pública, valeta, poço absorvente)</t>
  </si>
  <si>
    <t xml:space="preserve">Pluviais</t>
  </si>
  <si>
    <t xml:space="preserve">PLU-02</t>
  </si>
  <si>
    <t xml:space="preserve">Sistema separativo doméstico/pluvial garantido em toda a rede</t>
  </si>
  <si>
    <t xml:space="preserve">Pluviais × Esgotos</t>
  </si>
  <si>
    <t xml:space="preserve">PLU-03</t>
  </si>
  <si>
    <t xml:space="preserve">Caleiras, tubos de queda e ralos de coberturas planas com tubos ladrão</t>
  </si>
  <si>
    <t xml:space="preserve">PLU-04</t>
  </si>
  <si>
    <t xml:space="preserve">Ralos/grelhas em terraços, varandas, rampas de garagem e pátios</t>
  </si>
  <si>
    <t xml:space="preserve">PLU-05</t>
  </si>
  <si>
    <t xml:space="preserve">Caixas de areia e de visita pluviais</t>
  </si>
  <si>
    <t xml:space="preserve">PLU-06</t>
  </si>
  <si>
    <t xml:space="preserve">Tubos de queda iguais em número e posição nas plantas e alçados de arquitetura</t>
  </si>
  <si>
    <t xml:space="preserve">Arquitetura × Pluviais</t>
  </si>
  <si>
    <t xml:space="preserve">PLU-07</t>
  </si>
  <si>
    <t xml:space="preserve">Drenagem de muros de suporte ligada à rede pluvial</t>
  </si>
  <si>
    <t xml:space="preserve">Estruturas × Pluviais</t>
  </si>
  <si>
    <t xml:space="preserve">PLU-08</t>
  </si>
  <si>
    <t xml:space="preserve">Aproveitamento</t>
  </si>
  <si>
    <t xml:space="preserve">Aproveitamento de águas pluviais (cisterna), se previsto</t>
  </si>
  <si>
    <t xml:space="preserve">ELE-01</t>
  </si>
  <si>
    <t xml:space="preserve">Alimentação</t>
  </si>
  <si>
    <t xml:space="preserve">Portinhola, contador, ramal e pedido de ligação ao distribuidor</t>
  </si>
  <si>
    <t xml:space="preserve">ELE-02</t>
  </si>
  <si>
    <t xml:space="preserve">Quadro elétrico com proteções e espaço de reserva</t>
  </si>
  <si>
    <t xml:space="preserve">ELE-03</t>
  </si>
  <si>
    <t xml:space="preserve">Terras</t>
  </si>
  <si>
    <t xml:space="preserve">Elétrodo de terra e ligações equipotenciais (casas de banho, estruturas metálicas)</t>
  </si>
  <si>
    <t xml:space="preserve">ELE-04</t>
  </si>
  <si>
    <t xml:space="preserve">Contagem de pontos de luz e tomadas nas plantas igual à do MQ</t>
  </si>
  <si>
    <t xml:space="preserve">ELE-05</t>
  </si>
  <si>
    <t xml:space="preserve">Luminárias: incluídas ou excluídas, com tipologia e quantidades</t>
  </si>
  <si>
    <t xml:space="preserve">ELE-06</t>
  </si>
  <si>
    <t xml:space="preserve">Tubagem e caixas, incluindo tubagem embebida em laje antes da betonagem</t>
  </si>
  <si>
    <t xml:space="preserve">Eletricidade × Estruturas</t>
  </si>
  <si>
    <t xml:space="preserve">ELE-07</t>
  </si>
  <si>
    <t xml:space="preserve">Alimentação dos equipamentos AVAC (bomba de calor, VMC, ventiladores)</t>
  </si>
  <si>
    <t xml:space="preserve">Eletricidade × AVAC</t>
  </si>
  <si>
    <t xml:space="preserve">ELE-08</t>
  </si>
  <si>
    <t xml:space="preserve">Alimentação de estores motorizados, portões automáticos e videoporteiro</t>
  </si>
  <si>
    <t xml:space="preserve">Eletricidade × Arquitetura</t>
  </si>
  <si>
    <t xml:space="preserve">ELE-09</t>
  </si>
  <si>
    <t xml:space="preserve">Posição de tomadas e interruptores compatível com cozinha, mobiliário e portas</t>
  </si>
  <si>
    <t xml:space="preserve">ELE-10</t>
  </si>
  <si>
    <t xml:space="preserve">Iluminação de emergência e sinalização, se exigidas pela SCIE</t>
  </si>
  <si>
    <t xml:space="preserve">Eletricidade × SCIE</t>
  </si>
  <si>
    <t xml:space="preserve">ELE-11</t>
  </si>
  <si>
    <t xml:space="preserve">Iluminação exterior e tomadas exteriores estanques</t>
  </si>
  <si>
    <t xml:space="preserve">ELE-12</t>
  </si>
  <si>
    <t xml:space="preserve">Renováveis</t>
  </si>
  <si>
    <t xml:space="preserve">Posto de carregamento de veículo elétrico (ou pré-instalação)</t>
  </si>
  <si>
    <t xml:space="preserve">ELE-13</t>
  </si>
  <si>
    <t xml:space="preserve">Fotovoltaico/autoconsumo (painéis, inversor, estrutura) coerente com a térmica</t>
  </si>
  <si>
    <t xml:space="preserve">Eletricidade × Térmica</t>
  </si>
  <si>
    <t xml:space="preserve">ELE-14</t>
  </si>
  <si>
    <t xml:space="preserve">Existente</t>
  </si>
  <si>
    <t xml:space="preserve">Desativação e substituição integral da instalação existente</t>
  </si>
  <si>
    <t xml:space="preserve">ELE-15</t>
  </si>
  <si>
    <t xml:space="preserve">Certificação</t>
  </si>
  <si>
    <t xml:space="preserve">Certificação/inspeção da instalação por entidade inspetora</t>
  </si>
  <si>
    <t xml:space="preserve">ITE-01</t>
  </si>
  <si>
    <t xml:space="preserve">Entrada</t>
  </si>
  <si>
    <t xml:space="preserve">Caixa de visita multioperador e tubagem enterrada até à via pública</t>
  </si>
  <si>
    <t xml:space="preserve">ITE-02</t>
  </si>
  <si>
    <t xml:space="preserve">ATE/ATI e respetiva alimentação elétrica</t>
  </si>
  <si>
    <t xml:space="preserve">ITED × Eletricidade</t>
  </si>
  <si>
    <t xml:space="preserve">ITE-03</t>
  </si>
  <si>
    <t xml:space="preserve">Tomadas RJ45/coaxial/fibra por compartimento iguais nas plantas e no MQ</t>
  </si>
  <si>
    <t xml:space="preserve">ITE-04</t>
  </si>
  <si>
    <t xml:space="preserve">Captação</t>
  </si>
  <si>
    <t xml:space="preserve">Sistema de captação de TV (antena/mastro) e passagem para a cobertura</t>
  </si>
  <si>
    <t xml:space="preserve">ITED × Arquitetura</t>
  </si>
  <si>
    <t xml:space="preserve">ITE-05</t>
  </si>
  <si>
    <t xml:space="preserve">Ensaios e certificação ITED por instalador habilitado</t>
  </si>
  <si>
    <t xml:space="preserve">GAS-01</t>
  </si>
  <si>
    <t xml:space="preserve">Opção</t>
  </si>
  <si>
    <t xml:space="preserve">Existência de gás ou solução all-electric igual em todas as especialidades</t>
  </si>
  <si>
    <t xml:space="preserve">Gás × AVAC × Térmica</t>
  </si>
  <si>
    <t xml:space="preserve">GAS-02</t>
  </si>
  <si>
    <t xml:space="preserve">Ramal, armário de contador ou reservatório de GPL e respetivo licenciamento</t>
  </si>
  <si>
    <t xml:space="preserve">GAS-03</t>
  </si>
  <si>
    <t xml:space="preserve">Traçado da tubagem com proteções e bainhas nos atravessamentos</t>
  </si>
  <si>
    <t xml:space="preserve">GAS-04</t>
  </si>
  <si>
    <t xml:space="preserve">Ventilação</t>
  </si>
  <si>
    <t xml:space="preserve">Ventilação dos compartimentos com aparelhos a gás e evacuação dos produtos de combustão</t>
  </si>
  <si>
    <t xml:space="preserve">Gás × AVAC × Arquitetura</t>
  </si>
  <si>
    <t xml:space="preserve">GAS-05</t>
  </si>
  <si>
    <t xml:space="preserve">Inspeção e certificação da instalação de gás</t>
  </si>
  <si>
    <t xml:space="preserve">AVA-01</t>
  </si>
  <si>
    <t xml:space="preserve">Sistema</t>
  </si>
  <si>
    <t xml:space="preserve">Sistema de climatização (piso radiante, radiadores, splits) igual ao do estudo térmico</t>
  </si>
  <si>
    <t xml:space="preserve">AVAC × Térmica</t>
  </si>
  <si>
    <t xml:space="preserve">AVA-02</t>
  </si>
  <si>
    <t xml:space="preserve">Exaustão de cozinha e casas de banho com saída definida à cobertura/fachada</t>
  </si>
  <si>
    <t xml:space="preserve">AVAC × Arquitetura</t>
  </si>
  <si>
    <t xml:space="preserve">AVA-03</t>
  </si>
  <si>
    <t xml:space="preserve">Exaustor de cozinha e conduta de exaustão até ao exterior</t>
  </si>
  <si>
    <t xml:space="preserve">AVA-04</t>
  </si>
  <si>
    <t xml:space="preserve">VMC: equipamento, condutas, bocas e isolamento</t>
  </si>
  <si>
    <t xml:space="preserve">AVA-05</t>
  </si>
  <si>
    <t xml:space="preserve">Passagem de ar nas portas interiores (folga inferior ou grelha)</t>
  </si>
  <si>
    <t xml:space="preserve">AVA-06</t>
  </si>
  <si>
    <t xml:space="preserve">Condutas compatíveis com vigas e altura disponível no teto falso</t>
  </si>
  <si>
    <t xml:space="preserve">AVAC × Estruturas × Arquitetura</t>
  </si>
  <si>
    <t xml:space="preserve">AVA-07</t>
  </si>
  <si>
    <t xml:space="preserve">Unidades exteriores com localização, acesso, ruído e suporte definidos</t>
  </si>
  <si>
    <t xml:space="preserve">AVAC × Arquitetura × Acústica</t>
  </si>
  <si>
    <t xml:space="preserve">AVA-08</t>
  </si>
  <si>
    <t xml:space="preserve">Drenagem de condensados ligada à rede</t>
  </si>
  <si>
    <t xml:space="preserve">AVAC × Esgotos</t>
  </si>
  <si>
    <t xml:space="preserve">AVA-09</t>
  </si>
  <si>
    <t xml:space="preserve">Espessura do piso radiante compatível com betonilhas e cotas de pavimento</t>
  </si>
  <si>
    <t xml:space="preserve">AVA-10</t>
  </si>
  <si>
    <t xml:space="preserve">Termóstatos e controlo por zona</t>
  </si>
  <si>
    <t xml:space="preserve">AVA-11</t>
  </si>
  <si>
    <t xml:space="preserve">Ensaios, colocação em serviço e afinação</t>
  </si>
  <si>
    <t xml:space="preserve">TER-01</t>
  </si>
  <si>
    <t xml:space="preserve">Envolvente</t>
  </si>
  <si>
    <t xml:space="preserve">Soluções construtivas do estudo térmico (U de paredes, coberturas, pavimentos) iguais às da arquitetura e do MQ</t>
  </si>
  <si>
    <t xml:space="preserve">Térmica × Arquitetura</t>
  </si>
  <si>
    <t xml:space="preserve">TER-02</t>
  </si>
  <si>
    <t xml:space="preserve">Tipo e espessura de isolamento iguais em todos os documentos</t>
  </si>
  <si>
    <t xml:space="preserve">Térmica × MQ</t>
  </si>
  <si>
    <t xml:space="preserve">TER-03</t>
  </si>
  <si>
    <t xml:space="preserve">Isolamento de pavimentos sobre espaços não aquecidos/exterior e de lajes térreas</t>
  </si>
  <si>
    <t xml:space="preserve">TER-04</t>
  </si>
  <si>
    <t xml:space="preserve">Fator solar dos vidros e sombreamentos iguais aos do mapa de vãos</t>
  </si>
  <si>
    <t xml:space="preserve">TER-05</t>
  </si>
  <si>
    <t xml:space="preserve">Sistemas</t>
  </si>
  <si>
    <t xml:space="preserve">Sistemas técnicos do pré-certificado (AQS, renováveis, climatização) existem nos projetos e no MQ</t>
  </si>
  <si>
    <t xml:space="preserve">Térmica × AVAC × Águas</t>
  </si>
  <si>
    <t xml:space="preserve">TER-06</t>
  </si>
  <si>
    <t xml:space="preserve">Pré-certificado e certificado energético final</t>
  </si>
  <si>
    <t xml:space="preserve">TER-07</t>
  </si>
  <si>
    <t xml:space="preserve">Ensaio de estanquidade ao ar (se previsto)</t>
  </si>
  <si>
    <t xml:space="preserve">ACU-01</t>
  </si>
  <si>
    <t xml:space="preserve">Soluções acústicas (fachada, vãos, paredes e lajes de separação) refletidas na arquitetura e no MQ</t>
  </si>
  <si>
    <t xml:space="preserve">Acústica × Arquitetura</t>
  </si>
  <si>
    <t xml:space="preserve">ACU-02</t>
  </si>
  <si>
    <t xml:space="preserve">Isolamento a sons de percussão (subpavimento/laje flutuante)</t>
  </si>
  <si>
    <t xml:space="preserve">ACU-03</t>
  </si>
  <si>
    <t xml:space="preserve">Caixas de estore e grelhas de ventilação com desempenho acústico</t>
  </si>
  <si>
    <t xml:space="preserve">ACU-04</t>
  </si>
  <si>
    <t xml:space="preserve">Isolamento de vibrações e ruído de equipamentos (bombas de calor, ventiladores, hidropressores)</t>
  </si>
  <si>
    <t xml:space="preserve">Acústica × AVAC</t>
  </si>
  <si>
    <t xml:space="preserve">ACU-05</t>
  </si>
  <si>
    <t xml:space="preserve">Ensaios acústicos finais (se exigidos)</t>
  </si>
  <si>
    <t xml:space="preserve">SCI-01</t>
  </si>
  <si>
    <t xml:space="preserve">Projeto</t>
  </si>
  <si>
    <t xml:space="preserve">Categoria de risco e medidas de segurança contra incêndio definidas (projeto ou ficha)</t>
  </si>
  <si>
    <t xml:space="preserve">SCI-02</t>
  </si>
  <si>
    <t xml:space="preserve">Compartimentação</t>
  </si>
  <si>
    <t xml:space="preserve">Portas e paredes com resistência ao fogo entre garagem e habitação</t>
  </si>
  <si>
    <t xml:space="preserve">SCIE × Arquitetura</t>
  </si>
  <si>
    <t xml:space="preserve">SCI-03</t>
  </si>
  <si>
    <t xml:space="preserve">Reação ao fogo de revestimentos e isolamentos exteriores (ex.: ETICS)</t>
  </si>
  <si>
    <t xml:space="preserve">SCI-04</t>
  </si>
  <si>
    <t xml:space="preserve">Extintores, sinalética e iluminação de emergência (garagem, áreas técnicas)</t>
  </si>
  <si>
    <t xml:space="preserve">SCI-05</t>
  </si>
  <si>
    <t xml:space="preserve">Deteção de incêndio/CO em garagem ou zonas com combustão</t>
  </si>
  <si>
    <t xml:space="preserve">EXT-01</t>
  </si>
  <si>
    <t xml:space="preserve">Pavimentos</t>
  </si>
  <si>
    <t xml:space="preserve">Pavimentos exteriores (acessos, estacionamento, passeios) com base e lancis</t>
  </si>
  <si>
    <t xml:space="preserve">EXT-02</t>
  </si>
  <si>
    <t xml:space="preserve">Rebaixamento de lancil e reposição de pavimentos na via pública</t>
  </si>
  <si>
    <t xml:space="preserve">EXT-03</t>
  </si>
  <si>
    <t xml:space="preserve">Vedações</t>
  </si>
  <si>
    <t xml:space="preserve">Muros de vedação, muretes e portões</t>
  </si>
  <si>
    <t xml:space="preserve">EXT-04</t>
  </si>
  <si>
    <t xml:space="preserve">Ajardinamento</t>
  </si>
  <si>
    <t xml:space="preserve">Terra vegetal, ajardinamento, plantações e rega</t>
  </si>
  <si>
    <t xml:space="preserve">EXT-05</t>
  </si>
  <si>
    <t xml:space="preserve">Piscina</t>
  </si>
  <si>
    <t xml:space="preserve">Piscina: estrutura, impermeabilização, equipamento e casa das máquinas</t>
  </si>
  <si>
    <t xml:space="preserve">EXT-06</t>
  </si>
  <si>
    <t xml:space="preserve">Cotas exteriores compatíveis com soleiras e com a drenagem</t>
  </si>
  <si>
    <t xml:space="preserve">LIC-01</t>
  </si>
  <si>
    <t xml:space="preserve">Taxas</t>
  </si>
  <si>
    <t xml:space="preserve">Taxas e custos de ligação às redes (água, saneamento, eletricidade, gás, telecomunicações)</t>
  </si>
  <si>
    <t xml:space="preserve">LIC-02</t>
  </si>
  <si>
    <t xml:space="preserve">Licenciamento</t>
  </si>
  <si>
    <t xml:space="preserve">Livro de obra, placa de licenciamento e comunicações à câmara</t>
  </si>
  <si>
    <t xml:space="preserve">LIC-03</t>
  </si>
  <si>
    <t xml:space="preserve">Documentação</t>
  </si>
  <si>
    <t xml:space="preserve">Ficha técnica da habitação</t>
  </si>
  <si>
    <t xml:space="preserve">LIC-04</t>
  </si>
  <si>
    <t xml:space="preserve">Inspeções e vistorias finais para autorização de utilização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</si>
</sst>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&quot; €&quot;"/>
    <numFmt numFmtId="167" formatCode="General"/>
    <numFmt numFmtId="168" formatCode="0%"/>
    <numFmt numFmtId="169" formatCode="#,##0&quot; €&quot;;\-#,##0&quot; €&quot;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E7E6E6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7E6E6"/>
      </patternFill>
    </fill>
    <fill>
      <patternFill patternType="solid">
        <fgColor rgb="FFBF8F00"/>
        <bgColor rgb="FF808000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b val="1"/>
        <color rgb="FFC00000"/>
      </font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color rgb="FFA6A6A6"/>
      </font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5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B4" s="4" t="s">
        <v>3</v>
      </c>
      <c r="C4" s="5"/>
    </row>
    <row r="5" customFormat="false" ht="15" hidden="false" customHeight="false" outlineLevel="0" collapsed="false">
      <c r="B5" s="4" t="s">
        <v>4</v>
      </c>
      <c r="C5" s="5"/>
      <c r="D5" s="6" t="s">
        <v>5</v>
      </c>
    </row>
    <row r="6" customFormat="false" ht="15" hidden="false" customHeight="false" outlineLevel="0" collapsed="false">
      <c r="B6" s="4" t="s">
        <v>6</v>
      </c>
      <c r="C6" s="5"/>
    </row>
    <row r="7" customFormat="false" ht="15" hidden="false" customHeight="false" outlineLevel="0" collapsed="false">
      <c r="B7" s="4" t="s">
        <v>7</v>
      </c>
      <c r="C7" s="7"/>
    </row>
    <row r="8" customFormat="false" ht="15" hidden="false" customHeight="false" outlineLevel="0" collapsed="false">
      <c r="B8" s="4" t="s">
        <v>8</v>
      </c>
      <c r="C8" s="5"/>
    </row>
    <row r="10" customFormat="false" ht="15" hidden="false" customHeight="false" outlineLevel="0" collapsed="false">
      <c r="B10" s="3" t="s">
        <v>9</v>
      </c>
    </row>
    <row r="11" customFormat="false" ht="23.85" hidden="false" customHeight="false" outlineLevel="0" collapsed="false">
      <c r="B11" s="8" t="s">
        <v>10</v>
      </c>
      <c r="C11" s="9" t="s">
        <v>11</v>
      </c>
    </row>
    <row r="12" customFormat="false" ht="15" hidden="false" customHeight="false" outlineLevel="0" collapsed="false">
      <c r="B12" s="8" t="s">
        <v>12</v>
      </c>
      <c r="C12" s="9" t="s">
        <v>13</v>
      </c>
    </row>
    <row r="13" customFormat="false" ht="15" hidden="false" customHeight="false" outlineLevel="0" collapsed="false">
      <c r="B13" s="8" t="s">
        <v>14</v>
      </c>
      <c r="C13" s="9" t="s">
        <v>15</v>
      </c>
    </row>
    <row r="14" customFormat="false" ht="23.85" hidden="false" customHeight="false" outlineLevel="0" collapsed="false">
      <c r="B14" s="8" t="s">
        <v>16</v>
      </c>
      <c r="C14" s="9" t="s">
        <v>17</v>
      </c>
    </row>
    <row r="15" customFormat="false" ht="15" hidden="false" customHeight="false" outlineLevel="0" collapsed="false">
      <c r="B15" s="8" t="s">
        <v>18</v>
      </c>
      <c r="C15" s="9" t="s">
        <v>19</v>
      </c>
    </row>
    <row r="16" customFormat="false" ht="15" hidden="false" customHeight="false" outlineLevel="0" collapsed="false">
      <c r="B16" s="8" t="s">
        <v>20</v>
      </c>
      <c r="C16" s="9" t="s">
        <v>21</v>
      </c>
    </row>
    <row r="18" customFormat="false" ht="15" hidden="false" customHeight="false" outlineLevel="0" collapsed="false">
      <c r="B18" s="3" t="s">
        <v>22</v>
      </c>
    </row>
    <row r="19" customFormat="false" ht="23.85" hidden="false" customHeight="false" outlineLevel="0" collapsed="false">
      <c r="B19" s="10" t="s">
        <v>23</v>
      </c>
      <c r="C19" s="9" t="s">
        <v>24</v>
      </c>
    </row>
    <row r="21" customFormat="false" ht="15" hidden="false" customHeight="false" outlineLevel="0" collapsed="false">
      <c r="B21" s="3" t="s">
        <v>25</v>
      </c>
    </row>
    <row r="22" customFormat="false" ht="15" hidden="false" customHeight="false" outlineLevel="0" collapsed="false">
      <c r="B22" s="11" t="s">
        <v>26</v>
      </c>
      <c r="C22" s="9" t="s">
        <v>27</v>
      </c>
    </row>
    <row r="23" customFormat="false" ht="15" hidden="false" customHeight="false" outlineLevel="0" collapsed="false">
      <c r="B23" s="12" t="s">
        <v>28</v>
      </c>
      <c r="C23" s="9" t="s">
        <v>29</v>
      </c>
    </row>
    <row r="24" customFormat="false" ht="15" hidden="false" customHeight="false" outlineLevel="0" collapsed="false">
      <c r="B24" s="13" t="s">
        <v>30</v>
      </c>
      <c r="C24" s="9" t="s">
        <v>31</v>
      </c>
    </row>
    <row r="25" customFormat="false" ht="15" hidden="false" customHeight="false" outlineLevel="0" collapsed="false">
      <c r="B25" s="14" t="s">
        <v>32</v>
      </c>
      <c r="C25" s="9" t="s">
        <v>33</v>
      </c>
    </row>
    <row r="26" customFormat="false" ht="15" hidden="false" customHeight="false" outlineLevel="0" collapsed="false">
      <c r="B26" s="8" t="s">
        <v>34</v>
      </c>
      <c r="C26" s="9" t="s">
        <v>35</v>
      </c>
    </row>
    <row r="28" customFormat="false" ht="15" hidden="false" customHeight="false" outlineLevel="0" collapsed="false">
      <c r="B28" s="3" t="s">
        <v>36</v>
      </c>
    </row>
    <row r="29" customFormat="false" ht="15" hidden="false" customHeight="false" outlineLevel="0" collapsed="false">
      <c r="B29" s="8" t="s">
        <v>37</v>
      </c>
      <c r="C29" s="9" t="s">
        <v>38</v>
      </c>
    </row>
    <row r="30" customFormat="false" ht="15" hidden="false" customHeight="false" outlineLevel="0" collapsed="false">
      <c r="B30" s="8" t="s">
        <v>39</v>
      </c>
      <c r="C30" s="9" t="s">
        <v>40</v>
      </c>
    </row>
    <row r="31" customFormat="false" ht="15" hidden="false" customHeight="false" outlineLevel="0" collapsed="false">
      <c r="B31" s="8" t="s">
        <v>41</v>
      </c>
      <c r="C31" s="9" t="s">
        <v>42</v>
      </c>
    </row>
    <row r="33" customFormat="false" ht="15" hidden="false" customHeight="false" outlineLevel="0" collapsed="false">
      <c r="B33" s="3" t="s">
        <v>43</v>
      </c>
    </row>
    <row r="34" customFormat="false" ht="15" hidden="false" customHeight="false" outlineLevel="0" collapsed="false">
      <c r="B34" s="8" t="s">
        <v>44</v>
      </c>
      <c r="C34" s="9" t="s">
        <v>45</v>
      </c>
    </row>
    <row r="35" customFormat="false" ht="15" hidden="false" customHeight="false" outlineLevel="0" collapsed="false">
      <c r="B35" s="8" t="s">
        <v>46</v>
      </c>
      <c r="C35" s="9" t="s">
        <v>47</v>
      </c>
    </row>
    <row r="36" customFormat="false" ht="15" hidden="false" customHeight="false" outlineLevel="0" collapsed="false">
      <c r="B36" s="8" t="s">
        <v>48</v>
      </c>
      <c r="C36" s="9" t="s">
        <v>49</v>
      </c>
    </row>
    <row r="37" customFormat="false" ht="15" hidden="false" customHeight="false" outlineLevel="0" collapsed="false">
      <c r="C37" s="6" t="s">
        <v>50</v>
      </c>
    </row>
    <row r="39" customFormat="false" ht="15" hidden="false" customHeight="false" outlineLevel="0" collapsed="false">
      <c r="B39" s="3" t="s">
        <v>51</v>
      </c>
    </row>
    <row r="40" customFormat="false" ht="15" hidden="false" customHeight="false" outlineLevel="0" collapsed="false">
      <c r="B40" s="4" t="s">
        <v>52</v>
      </c>
      <c r="C40" s="15" t="s">
        <v>53</v>
      </c>
    </row>
    <row r="41" customFormat="false" ht="15" hidden="false" customHeight="false" outlineLevel="0" collapsed="false">
      <c r="B41" s="4" t="s">
        <v>54</v>
      </c>
      <c r="C41" s="15" t="s">
        <v>55</v>
      </c>
    </row>
    <row r="42" customFormat="false" ht="15" hidden="false" customHeight="false" outlineLevel="0" collapsed="false">
      <c r="B42" s="4" t="s">
        <v>56</v>
      </c>
      <c r="C42" s="15" t="s">
        <v>28</v>
      </c>
    </row>
    <row r="43" customFormat="false" ht="15" hidden="false" customHeight="false" outlineLevel="0" collapsed="false">
      <c r="B43" s="4" t="s">
        <v>57</v>
      </c>
      <c r="C43" s="15" t="s">
        <v>58</v>
      </c>
    </row>
    <row r="44" customFormat="false" ht="15" hidden="false" customHeight="false" outlineLevel="0" collapsed="false">
      <c r="B44" s="4" t="s">
        <v>59</v>
      </c>
      <c r="C44" s="15" t="s">
        <v>60</v>
      </c>
    </row>
    <row r="45" customFormat="false" ht="15" hidden="false" customHeight="false" outlineLevel="0" collapsed="false">
      <c r="B45" s="4" t="s">
        <v>61</v>
      </c>
      <c r="C45" s="15" t="s">
        <v>62</v>
      </c>
    </row>
    <row r="46" customFormat="false" ht="15" hidden="false" customHeight="false" outlineLevel="0" collapsed="false">
      <c r="B46" s="4" t="s">
        <v>63</v>
      </c>
      <c r="C46" s="16" t="n">
        <v>450</v>
      </c>
    </row>
    <row r="48" customFormat="false" ht="32.8" hidden="false" customHeight="false" outlineLevel="0" collapsed="false">
      <c r="B48" s="17" t="s">
        <v>64</v>
      </c>
      <c r="C48" s="18" t="s">
        <v>65</v>
      </c>
    </row>
  </sheetData>
  <dataValidations count="1">
    <dataValidation allowBlank="true" errorStyle="stop" operator="between" showDropDown="false" showErrorMessage="false" showInputMessage="false" sqref="C5" type="list">
      <formula1>"Construção nova,Remodelação"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5"/>
  </cols>
  <sheetData>
    <row r="1" customFormat="false" ht="17.35" hidden="false" customHeight="false" outlineLevel="0" collapsed="false">
      <c r="A1" s="19" t="s">
        <v>66</v>
      </c>
    </row>
    <row r="2" customFormat="false" ht="15" hidden="false" customHeight="false" outlineLevel="0" collapsed="false">
      <c r="A2" s="2" t="str">
        <f aca="false">"Obra: "&amp;IF(Instruções!$C$4="","(preencher em Instruções)",Instruções!$C$4)&amp;"   ·   Tipo: "&amp;IF(Instruções!$C$5="","(todos os pontos)",Instruções!$C$5)</f>
        <v>Obra: (preencher em Instruções)   ·   Tipo: (todos os pontos)</v>
      </c>
    </row>
    <row r="4" customFormat="false" ht="31.5" hidden="false" customHeight="true" outlineLevel="0" collapsed="false">
      <c r="A4" s="20" t="s">
        <v>67</v>
      </c>
      <c r="B4" s="20" t="s">
        <v>68</v>
      </c>
      <c r="C4" s="20" t="s">
        <v>26</v>
      </c>
      <c r="D4" s="20" t="s">
        <v>28</v>
      </c>
      <c r="E4" s="20" t="s">
        <v>30</v>
      </c>
      <c r="F4" s="20" t="s">
        <v>32</v>
      </c>
      <c r="G4" s="20" t="s">
        <v>69</v>
      </c>
      <c r="H4" s="20" t="s">
        <v>70</v>
      </c>
      <c r="I4" s="20" t="s">
        <v>71</v>
      </c>
      <c r="J4" s="20" t="s">
        <v>63</v>
      </c>
    </row>
    <row r="5" customFormat="false" ht="15" hidden="false" customHeight="false" outlineLevel="0" collapsed="false">
      <c r="A5" s="21" t="s">
        <v>72</v>
      </c>
      <c r="B5" s="22" t="n">
        <f aca="false">COUNTIFS(Checklist!$B$4:$B$221,$A5,Checklist!$I$4:$I$221,"Sim")</f>
        <v>13</v>
      </c>
      <c r="C5" s="22" t="n">
        <f aca="false">COUNTIFS(Checklist!$B$4:$B$221,$A5,Checklist!$I$4:$I$221,"Sim",Checklist!$J$4:$J$221,"OK")</f>
        <v>0</v>
      </c>
      <c r="D5" s="22" t="n">
        <f aca="false">COUNTIFS(Checklist!$B$4:$B$221,$A5,Checklist!$I$4:$I$221,"Sim",Checklist!$J$4:$J$221,"Omisso")</f>
        <v>0</v>
      </c>
      <c r="E5" s="22" t="n">
        <f aca="false">COUNTIFS(Checklist!$B$4:$B$221,$A5,Checklist!$I$4:$I$221,"Sim",Checklist!$J$4:$J$221,"A esclarecer")</f>
        <v>0</v>
      </c>
      <c r="F5" s="22" t="n">
        <f aca="false">COUNTIFS(Checklist!$B$4:$B$221,$A5,Checklist!$I$4:$I$221,"Sim",Checklist!$J$4:$J$221,"N/A")</f>
        <v>0</v>
      </c>
      <c r="G5" s="22" t="n">
        <f aca="false">B5-SUM(C5:F5)</f>
        <v>13</v>
      </c>
      <c r="H5" s="23" t="n">
        <f aca="false">IF(B5=0,"-",(B5-G5)/B5)</f>
        <v>0</v>
      </c>
      <c r="I5" s="22" t="n">
        <f aca="false">COUNTIFS(Checklist!$B$4:$B$221,$A5,Checklist!$I$4:$I$221,"Sim",Checklist!$J$4:$J$221,"Omisso",Checklist!$H$4:$H$221,"Alta")</f>
        <v>0</v>
      </c>
      <c r="J5" s="24" t="n">
        <f aca="false">SUMIFS(Checklist!$N$4:$N$221,Checklist!$B$4:$B$221,$A5,Checklist!$I$4:$I$221,"Sim")</f>
        <v>0</v>
      </c>
    </row>
    <row r="6" customFormat="false" ht="15" hidden="false" customHeight="false" outlineLevel="0" collapsed="false">
      <c r="A6" s="21" t="s">
        <v>73</v>
      </c>
      <c r="B6" s="22" t="n">
        <f aca="false">COUNTIFS(Checklist!$B$4:$B$221,$A6,Checklist!$I$4:$I$221,"Sim")</f>
        <v>11</v>
      </c>
      <c r="C6" s="22" t="n">
        <f aca="false">COUNTIFS(Checklist!$B$4:$B$221,$A6,Checklist!$I$4:$I$221,"Sim",Checklist!$J$4:$J$221,"OK")</f>
        <v>0</v>
      </c>
      <c r="D6" s="22" t="n">
        <f aca="false">COUNTIFS(Checklist!$B$4:$B$221,$A6,Checklist!$I$4:$I$221,"Sim",Checklist!$J$4:$J$221,"Omisso")</f>
        <v>0</v>
      </c>
      <c r="E6" s="22" t="n">
        <f aca="false">COUNTIFS(Checklist!$B$4:$B$221,$A6,Checklist!$I$4:$I$221,"Sim",Checklist!$J$4:$J$221,"A esclarecer")</f>
        <v>0</v>
      </c>
      <c r="F6" s="22" t="n">
        <f aca="false">COUNTIFS(Checklist!$B$4:$B$221,$A6,Checklist!$I$4:$I$221,"Sim",Checklist!$J$4:$J$221,"N/A")</f>
        <v>0</v>
      </c>
      <c r="G6" s="22" t="n">
        <f aca="false">B6-SUM(C6:F6)</f>
        <v>11</v>
      </c>
      <c r="H6" s="23" t="n">
        <f aca="false">IF(B6=0,"-",(B6-G6)/B6)</f>
        <v>0</v>
      </c>
      <c r="I6" s="22" t="n">
        <f aca="false">COUNTIFS(Checklist!$B$4:$B$221,$A6,Checklist!$I$4:$I$221,"Sim",Checklist!$J$4:$J$221,"Omisso",Checklist!$H$4:$H$221,"Alta")</f>
        <v>0</v>
      </c>
      <c r="J6" s="24" t="n">
        <f aca="false">SUMIFS(Checklist!$N$4:$N$221,Checklist!$B$4:$B$221,$A6,Checklist!$I$4:$I$221,"Sim")</f>
        <v>0</v>
      </c>
    </row>
    <row r="7" customFormat="false" ht="15" hidden="false" customHeight="false" outlineLevel="0" collapsed="false">
      <c r="A7" s="21" t="s">
        <v>74</v>
      </c>
      <c r="B7" s="22" t="n">
        <f aca="false">COUNTIFS(Checklist!$B$4:$B$221,$A7,Checklist!$I$4:$I$221,"Sim")</f>
        <v>11</v>
      </c>
      <c r="C7" s="22" t="n">
        <f aca="false">COUNTIFS(Checklist!$B$4:$B$221,$A7,Checklist!$I$4:$I$221,"Sim",Checklist!$J$4:$J$221,"OK")</f>
        <v>0</v>
      </c>
      <c r="D7" s="22" t="n">
        <f aca="false">COUNTIFS(Checklist!$B$4:$B$221,$A7,Checklist!$I$4:$I$221,"Sim",Checklist!$J$4:$J$221,"Omisso")</f>
        <v>0</v>
      </c>
      <c r="E7" s="22" t="n">
        <f aca="false">COUNTIFS(Checklist!$B$4:$B$221,$A7,Checklist!$I$4:$I$221,"Sim",Checklist!$J$4:$J$221,"A esclarecer")</f>
        <v>0</v>
      </c>
      <c r="F7" s="22" t="n">
        <f aca="false">COUNTIFS(Checklist!$B$4:$B$221,$A7,Checklist!$I$4:$I$221,"Sim",Checklist!$J$4:$J$221,"N/A")</f>
        <v>0</v>
      </c>
      <c r="G7" s="22" t="n">
        <f aca="false">B7-SUM(C7:F7)</f>
        <v>11</v>
      </c>
      <c r="H7" s="23" t="n">
        <f aca="false">IF(B7=0,"-",(B7-G7)/B7)</f>
        <v>0</v>
      </c>
      <c r="I7" s="22" t="n">
        <f aca="false">COUNTIFS(Checklist!$B$4:$B$221,$A7,Checklist!$I$4:$I$221,"Sim",Checklist!$J$4:$J$221,"Omisso",Checklist!$H$4:$H$221,"Alta")</f>
        <v>0</v>
      </c>
      <c r="J7" s="24" t="n">
        <f aca="false">SUMIFS(Checklist!$N$4:$N$221,Checklist!$B$4:$B$221,$A7,Checklist!$I$4:$I$221,"Sim")</f>
        <v>0</v>
      </c>
    </row>
    <row r="8" customFormat="false" ht="15" hidden="false" customHeight="false" outlineLevel="0" collapsed="false">
      <c r="A8" s="21" t="s">
        <v>75</v>
      </c>
      <c r="B8" s="22" t="n">
        <f aca="false">COUNTIFS(Checklist!$B$4:$B$221,$A8,Checklist!$I$4:$I$221,"Sim")</f>
        <v>18</v>
      </c>
      <c r="C8" s="22" t="n">
        <f aca="false">COUNTIFS(Checklist!$B$4:$B$221,$A8,Checklist!$I$4:$I$221,"Sim",Checklist!$J$4:$J$221,"OK")</f>
        <v>0</v>
      </c>
      <c r="D8" s="22" t="n">
        <f aca="false">COUNTIFS(Checklist!$B$4:$B$221,$A8,Checklist!$I$4:$I$221,"Sim",Checklist!$J$4:$J$221,"Omisso")</f>
        <v>0</v>
      </c>
      <c r="E8" s="22" t="n">
        <f aca="false">COUNTIFS(Checklist!$B$4:$B$221,$A8,Checklist!$I$4:$I$221,"Sim",Checklist!$J$4:$J$221,"A esclarecer")</f>
        <v>0</v>
      </c>
      <c r="F8" s="22" t="n">
        <f aca="false">COUNTIFS(Checklist!$B$4:$B$221,$A8,Checklist!$I$4:$I$221,"Sim",Checklist!$J$4:$J$221,"N/A")</f>
        <v>0</v>
      </c>
      <c r="G8" s="22" t="n">
        <f aca="false">B8-SUM(C8:F8)</f>
        <v>18</v>
      </c>
      <c r="H8" s="23" t="n">
        <f aca="false">IF(B8=0,"-",(B8-G8)/B8)</f>
        <v>0</v>
      </c>
      <c r="I8" s="22" t="n">
        <f aca="false">COUNTIFS(Checklist!$B$4:$B$221,$A8,Checklist!$I$4:$I$221,"Sim",Checklist!$J$4:$J$221,"Omisso",Checklist!$H$4:$H$221,"Alta")</f>
        <v>0</v>
      </c>
      <c r="J8" s="24" t="n">
        <f aca="false">SUMIFS(Checklist!$N$4:$N$221,Checklist!$B$4:$B$221,$A8,Checklist!$I$4:$I$221,"Sim")</f>
        <v>0</v>
      </c>
    </row>
    <row r="9" customFormat="false" ht="15" hidden="false" customHeight="false" outlineLevel="0" collapsed="false">
      <c r="A9" s="21" t="s">
        <v>76</v>
      </c>
      <c r="B9" s="22" t="n">
        <f aca="false">COUNTIFS(Checklist!$B$4:$B$221,$A9,Checklist!$I$4:$I$221,"Sim")</f>
        <v>42</v>
      </c>
      <c r="C9" s="22" t="n">
        <f aca="false">COUNTIFS(Checklist!$B$4:$B$221,$A9,Checklist!$I$4:$I$221,"Sim",Checklist!$J$4:$J$221,"OK")</f>
        <v>0</v>
      </c>
      <c r="D9" s="22" t="n">
        <f aca="false">COUNTIFS(Checklist!$B$4:$B$221,$A9,Checklist!$I$4:$I$221,"Sim",Checklist!$J$4:$J$221,"Omisso")</f>
        <v>0</v>
      </c>
      <c r="E9" s="22" t="n">
        <f aca="false">COUNTIFS(Checklist!$B$4:$B$221,$A9,Checklist!$I$4:$I$221,"Sim",Checklist!$J$4:$J$221,"A esclarecer")</f>
        <v>0</v>
      </c>
      <c r="F9" s="22" t="n">
        <f aca="false">COUNTIFS(Checklist!$B$4:$B$221,$A9,Checklist!$I$4:$I$221,"Sim",Checklist!$J$4:$J$221,"N/A")</f>
        <v>0</v>
      </c>
      <c r="G9" s="22" t="n">
        <f aca="false">B9-SUM(C9:F9)</f>
        <v>42</v>
      </c>
      <c r="H9" s="23" t="n">
        <f aca="false">IF(B9=0,"-",(B9-G9)/B9)</f>
        <v>0</v>
      </c>
      <c r="I9" s="22" t="n">
        <f aca="false">COUNTIFS(Checklist!$B$4:$B$221,$A9,Checklist!$I$4:$I$221,"Sim",Checklist!$J$4:$J$221,"Omisso",Checklist!$H$4:$H$221,"Alta")</f>
        <v>0</v>
      </c>
      <c r="J9" s="24" t="n">
        <f aca="false">SUMIFS(Checklist!$N$4:$N$221,Checklist!$B$4:$B$221,$A9,Checklist!$I$4:$I$221,"Sim")</f>
        <v>0</v>
      </c>
    </row>
    <row r="10" customFormat="false" ht="15" hidden="false" customHeight="false" outlineLevel="0" collapsed="false">
      <c r="A10" s="21" t="s">
        <v>77</v>
      </c>
      <c r="B10" s="22" t="n">
        <f aca="false">COUNTIFS(Checklist!$B$4:$B$221,$A10,Checklist!$I$4:$I$221,"Sim")</f>
        <v>11</v>
      </c>
      <c r="C10" s="22" t="n">
        <f aca="false">COUNTIFS(Checklist!$B$4:$B$221,$A10,Checklist!$I$4:$I$221,"Sim",Checklist!$J$4:$J$221,"OK")</f>
        <v>0</v>
      </c>
      <c r="D10" s="22" t="n">
        <f aca="false">COUNTIFS(Checklist!$B$4:$B$221,$A10,Checklist!$I$4:$I$221,"Sim",Checklist!$J$4:$J$221,"Omisso")</f>
        <v>0</v>
      </c>
      <c r="E10" s="22" t="n">
        <f aca="false">COUNTIFS(Checklist!$B$4:$B$221,$A10,Checklist!$I$4:$I$221,"Sim",Checklist!$J$4:$J$221,"A esclarecer")</f>
        <v>0</v>
      </c>
      <c r="F10" s="22" t="n">
        <f aca="false">COUNTIFS(Checklist!$B$4:$B$221,$A10,Checklist!$I$4:$I$221,"Sim",Checklist!$J$4:$J$221,"N/A")</f>
        <v>0</v>
      </c>
      <c r="G10" s="22" t="n">
        <f aca="false">B10-SUM(C10:F10)</f>
        <v>11</v>
      </c>
      <c r="H10" s="23" t="n">
        <f aca="false">IF(B10=0,"-",(B10-G10)/B10)</f>
        <v>0</v>
      </c>
      <c r="I10" s="22" t="n">
        <f aca="false">COUNTIFS(Checklist!$B$4:$B$221,$A10,Checklist!$I$4:$I$221,"Sim",Checklist!$J$4:$J$221,"Omisso",Checklist!$H$4:$H$221,"Alta")</f>
        <v>0</v>
      </c>
      <c r="J10" s="24" t="n">
        <f aca="false">SUMIFS(Checklist!$N$4:$N$221,Checklist!$B$4:$B$221,$A10,Checklist!$I$4:$I$221,"Sim")</f>
        <v>0</v>
      </c>
    </row>
    <row r="11" customFormat="false" ht="15" hidden="false" customHeight="false" outlineLevel="0" collapsed="false">
      <c r="A11" s="21" t="s">
        <v>78</v>
      </c>
      <c r="B11" s="22" t="n">
        <f aca="false">COUNTIFS(Checklist!$B$4:$B$221,$A11,Checklist!$I$4:$I$221,"Sim")</f>
        <v>11</v>
      </c>
      <c r="C11" s="22" t="n">
        <f aca="false">COUNTIFS(Checklist!$B$4:$B$221,$A11,Checklist!$I$4:$I$221,"Sim",Checklist!$J$4:$J$221,"OK")</f>
        <v>0</v>
      </c>
      <c r="D11" s="22" t="n">
        <f aca="false">COUNTIFS(Checklist!$B$4:$B$221,$A11,Checklist!$I$4:$I$221,"Sim",Checklist!$J$4:$J$221,"Omisso")</f>
        <v>0</v>
      </c>
      <c r="E11" s="22" t="n">
        <f aca="false">COUNTIFS(Checklist!$B$4:$B$221,$A11,Checklist!$I$4:$I$221,"Sim",Checklist!$J$4:$J$221,"A esclarecer")</f>
        <v>0</v>
      </c>
      <c r="F11" s="22" t="n">
        <f aca="false">COUNTIFS(Checklist!$B$4:$B$221,$A11,Checklist!$I$4:$I$221,"Sim",Checklist!$J$4:$J$221,"N/A")</f>
        <v>0</v>
      </c>
      <c r="G11" s="22" t="n">
        <f aca="false">B11-SUM(C11:F11)</f>
        <v>11</v>
      </c>
      <c r="H11" s="23" t="n">
        <f aca="false">IF(B11=0,"-",(B11-G11)/B11)</f>
        <v>0</v>
      </c>
      <c r="I11" s="22" t="n">
        <f aca="false">COUNTIFS(Checklist!$B$4:$B$221,$A11,Checklist!$I$4:$I$221,"Sim",Checklist!$J$4:$J$221,"Omisso",Checklist!$H$4:$H$221,"Alta")</f>
        <v>0</v>
      </c>
      <c r="J11" s="24" t="n">
        <f aca="false">SUMIFS(Checklist!$N$4:$N$221,Checklist!$B$4:$B$221,$A11,Checklist!$I$4:$I$221,"Sim")</f>
        <v>0</v>
      </c>
    </row>
    <row r="12" customFormat="false" ht="15" hidden="false" customHeight="false" outlineLevel="0" collapsed="false">
      <c r="A12" s="21" t="s">
        <v>79</v>
      </c>
      <c r="B12" s="22" t="n">
        <f aca="false">COUNTIFS(Checklist!$B$4:$B$221,$A12,Checklist!$I$4:$I$221,"Sim")</f>
        <v>8</v>
      </c>
      <c r="C12" s="22" t="n">
        <f aca="false">COUNTIFS(Checklist!$B$4:$B$221,$A12,Checklist!$I$4:$I$221,"Sim",Checklist!$J$4:$J$221,"OK")</f>
        <v>0</v>
      </c>
      <c r="D12" s="22" t="n">
        <f aca="false">COUNTIFS(Checklist!$B$4:$B$221,$A12,Checklist!$I$4:$I$221,"Sim",Checklist!$J$4:$J$221,"Omisso")</f>
        <v>0</v>
      </c>
      <c r="E12" s="22" t="n">
        <f aca="false">COUNTIFS(Checklist!$B$4:$B$221,$A12,Checklist!$I$4:$I$221,"Sim",Checklist!$J$4:$J$221,"A esclarecer")</f>
        <v>0</v>
      </c>
      <c r="F12" s="22" t="n">
        <f aca="false">COUNTIFS(Checklist!$B$4:$B$221,$A12,Checklist!$I$4:$I$221,"Sim",Checklist!$J$4:$J$221,"N/A")</f>
        <v>0</v>
      </c>
      <c r="G12" s="22" t="n">
        <f aca="false">B12-SUM(C12:F12)</f>
        <v>8</v>
      </c>
      <c r="H12" s="23" t="n">
        <f aca="false">IF(B12=0,"-",(B12-G12)/B12)</f>
        <v>0</v>
      </c>
      <c r="I12" s="22" t="n">
        <f aca="false">COUNTIFS(Checklist!$B$4:$B$221,$A12,Checklist!$I$4:$I$221,"Sim",Checklist!$J$4:$J$221,"Omisso",Checklist!$H$4:$H$221,"Alta")</f>
        <v>0</v>
      </c>
      <c r="J12" s="24" t="n">
        <f aca="false">SUMIFS(Checklist!$N$4:$N$221,Checklist!$B$4:$B$221,$A12,Checklist!$I$4:$I$221,"Sim")</f>
        <v>0</v>
      </c>
    </row>
    <row r="13" customFormat="false" ht="15" hidden="false" customHeight="false" outlineLevel="0" collapsed="false">
      <c r="A13" s="21" t="s">
        <v>80</v>
      </c>
      <c r="B13" s="22" t="n">
        <f aca="false">COUNTIFS(Checklist!$B$4:$B$221,$A13,Checklist!$I$4:$I$221,"Sim")</f>
        <v>15</v>
      </c>
      <c r="C13" s="22" t="n">
        <f aca="false">COUNTIFS(Checklist!$B$4:$B$221,$A13,Checklist!$I$4:$I$221,"Sim",Checklist!$J$4:$J$221,"OK")</f>
        <v>0</v>
      </c>
      <c r="D13" s="22" t="n">
        <f aca="false">COUNTIFS(Checklist!$B$4:$B$221,$A13,Checklist!$I$4:$I$221,"Sim",Checklist!$J$4:$J$221,"Omisso")</f>
        <v>0</v>
      </c>
      <c r="E13" s="22" t="n">
        <f aca="false">COUNTIFS(Checklist!$B$4:$B$221,$A13,Checklist!$I$4:$I$221,"Sim",Checklist!$J$4:$J$221,"A esclarecer")</f>
        <v>0</v>
      </c>
      <c r="F13" s="22" t="n">
        <f aca="false">COUNTIFS(Checklist!$B$4:$B$221,$A13,Checklist!$I$4:$I$221,"Sim",Checklist!$J$4:$J$221,"N/A")</f>
        <v>0</v>
      </c>
      <c r="G13" s="22" t="n">
        <f aca="false">B13-SUM(C13:F13)</f>
        <v>15</v>
      </c>
      <c r="H13" s="23" t="n">
        <f aca="false">IF(B13=0,"-",(B13-G13)/B13)</f>
        <v>0</v>
      </c>
      <c r="I13" s="22" t="n">
        <f aca="false">COUNTIFS(Checklist!$B$4:$B$221,$A13,Checklist!$I$4:$I$221,"Sim",Checklist!$J$4:$J$221,"Omisso",Checklist!$H$4:$H$221,"Alta")</f>
        <v>0</v>
      </c>
      <c r="J13" s="24" t="n">
        <f aca="false">SUMIFS(Checklist!$N$4:$N$221,Checklist!$B$4:$B$221,$A13,Checklist!$I$4:$I$221,"Sim")</f>
        <v>0</v>
      </c>
    </row>
    <row r="14" customFormat="false" ht="15" hidden="false" customHeight="false" outlineLevel="0" collapsed="false">
      <c r="A14" s="21" t="s">
        <v>81</v>
      </c>
      <c r="B14" s="22" t="n">
        <f aca="false">COUNTIFS(Checklist!$B$4:$B$221,$A14,Checklist!$I$4:$I$221,"Sim")</f>
        <v>5</v>
      </c>
      <c r="C14" s="22" t="n">
        <f aca="false">COUNTIFS(Checklist!$B$4:$B$221,$A14,Checklist!$I$4:$I$221,"Sim",Checklist!$J$4:$J$221,"OK")</f>
        <v>0</v>
      </c>
      <c r="D14" s="22" t="n">
        <f aca="false">COUNTIFS(Checklist!$B$4:$B$221,$A14,Checklist!$I$4:$I$221,"Sim",Checklist!$J$4:$J$221,"Omisso")</f>
        <v>0</v>
      </c>
      <c r="E14" s="22" t="n">
        <f aca="false">COUNTIFS(Checklist!$B$4:$B$221,$A14,Checklist!$I$4:$I$221,"Sim",Checklist!$J$4:$J$221,"A esclarecer")</f>
        <v>0</v>
      </c>
      <c r="F14" s="22" t="n">
        <f aca="false">COUNTIFS(Checklist!$B$4:$B$221,$A14,Checklist!$I$4:$I$221,"Sim",Checklist!$J$4:$J$221,"N/A")</f>
        <v>0</v>
      </c>
      <c r="G14" s="22" t="n">
        <f aca="false">B14-SUM(C14:F14)</f>
        <v>5</v>
      </c>
      <c r="H14" s="23" t="n">
        <f aca="false">IF(B14=0,"-",(B14-G14)/B14)</f>
        <v>0</v>
      </c>
      <c r="I14" s="22" t="n">
        <f aca="false">COUNTIFS(Checklist!$B$4:$B$221,$A14,Checklist!$I$4:$I$221,"Sim",Checklist!$J$4:$J$221,"Omisso",Checklist!$H$4:$H$221,"Alta")</f>
        <v>0</v>
      </c>
      <c r="J14" s="24" t="n">
        <f aca="false">SUMIFS(Checklist!$N$4:$N$221,Checklist!$B$4:$B$221,$A14,Checklist!$I$4:$I$221,"Sim")</f>
        <v>0</v>
      </c>
    </row>
    <row r="15" customFormat="false" ht="15" hidden="false" customHeight="false" outlineLevel="0" collapsed="false">
      <c r="A15" s="21" t="s">
        <v>82</v>
      </c>
      <c r="B15" s="22" t="n">
        <f aca="false">COUNTIFS(Checklist!$B$4:$B$221,$A15,Checklist!$I$4:$I$221,"Sim")</f>
        <v>5</v>
      </c>
      <c r="C15" s="22" t="n">
        <f aca="false">COUNTIFS(Checklist!$B$4:$B$221,$A15,Checklist!$I$4:$I$221,"Sim",Checklist!$J$4:$J$221,"OK")</f>
        <v>0</v>
      </c>
      <c r="D15" s="22" t="n">
        <f aca="false">COUNTIFS(Checklist!$B$4:$B$221,$A15,Checklist!$I$4:$I$221,"Sim",Checklist!$J$4:$J$221,"Omisso")</f>
        <v>0</v>
      </c>
      <c r="E15" s="22" t="n">
        <f aca="false">COUNTIFS(Checklist!$B$4:$B$221,$A15,Checklist!$I$4:$I$221,"Sim",Checklist!$J$4:$J$221,"A esclarecer")</f>
        <v>0</v>
      </c>
      <c r="F15" s="22" t="n">
        <f aca="false">COUNTIFS(Checklist!$B$4:$B$221,$A15,Checklist!$I$4:$I$221,"Sim",Checklist!$J$4:$J$221,"N/A")</f>
        <v>0</v>
      </c>
      <c r="G15" s="22" t="n">
        <f aca="false">B15-SUM(C15:F15)</f>
        <v>5</v>
      </c>
      <c r="H15" s="23" t="n">
        <f aca="false">IF(B15=0,"-",(B15-G15)/B15)</f>
        <v>0</v>
      </c>
      <c r="I15" s="22" t="n">
        <f aca="false">COUNTIFS(Checklist!$B$4:$B$221,$A15,Checklist!$I$4:$I$221,"Sim",Checklist!$J$4:$J$221,"Omisso",Checklist!$H$4:$H$221,"Alta")</f>
        <v>0</v>
      </c>
      <c r="J15" s="24" t="n">
        <f aca="false">SUMIFS(Checklist!$N$4:$N$221,Checklist!$B$4:$B$221,$A15,Checklist!$I$4:$I$221,"Sim")</f>
        <v>0</v>
      </c>
    </row>
    <row r="16" customFormat="false" ht="15" hidden="false" customHeight="false" outlineLevel="0" collapsed="false">
      <c r="A16" s="21" t="s">
        <v>83</v>
      </c>
      <c r="B16" s="22" t="n">
        <f aca="false">COUNTIFS(Checklist!$B$4:$B$221,$A16,Checklist!$I$4:$I$221,"Sim")</f>
        <v>11</v>
      </c>
      <c r="C16" s="22" t="n">
        <f aca="false">COUNTIFS(Checklist!$B$4:$B$221,$A16,Checklist!$I$4:$I$221,"Sim",Checklist!$J$4:$J$221,"OK")</f>
        <v>0</v>
      </c>
      <c r="D16" s="22" t="n">
        <f aca="false">COUNTIFS(Checklist!$B$4:$B$221,$A16,Checklist!$I$4:$I$221,"Sim",Checklist!$J$4:$J$221,"Omisso")</f>
        <v>0</v>
      </c>
      <c r="E16" s="22" t="n">
        <f aca="false">COUNTIFS(Checklist!$B$4:$B$221,$A16,Checklist!$I$4:$I$221,"Sim",Checklist!$J$4:$J$221,"A esclarecer")</f>
        <v>0</v>
      </c>
      <c r="F16" s="22" t="n">
        <f aca="false">COUNTIFS(Checklist!$B$4:$B$221,$A16,Checklist!$I$4:$I$221,"Sim",Checklist!$J$4:$J$221,"N/A")</f>
        <v>0</v>
      </c>
      <c r="G16" s="22" t="n">
        <f aca="false">B16-SUM(C16:F16)</f>
        <v>11</v>
      </c>
      <c r="H16" s="23" t="n">
        <f aca="false">IF(B16=0,"-",(B16-G16)/B16)</f>
        <v>0</v>
      </c>
      <c r="I16" s="22" t="n">
        <f aca="false">COUNTIFS(Checklist!$B$4:$B$221,$A16,Checklist!$I$4:$I$221,"Sim",Checklist!$J$4:$J$221,"Omisso",Checklist!$H$4:$H$221,"Alta")</f>
        <v>0</v>
      </c>
      <c r="J16" s="24" t="n">
        <f aca="false">SUMIFS(Checklist!$N$4:$N$221,Checklist!$B$4:$B$221,$A16,Checklist!$I$4:$I$221,"Sim")</f>
        <v>0</v>
      </c>
    </row>
    <row r="17" customFormat="false" ht="15" hidden="false" customHeight="false" outlineLevel="0" collapsed="false">
      <c r="A17" s="21" t="s">
        <v>84</v>
      </c>
      <c r="B17" s="22" t="n">
        <f aca="false">COUNTIFS(Checklist!$B$4:$B$221,$A17,Checklist!$I$4:$I$221,"Sim")</f>
        <v>7</v>
      </c>
      <c r="C17" s="22" t="n">
        <f aca="false">COUNTIFS(Checklist!$B$4:$B$221,$A17,Checklist!$I$4:$I$221,"Sim",Checklist!$J$4:$J$221,"OK")</f>
        <v>0</v>
      </c>
      <c r="D17" s="22" t="n">
        <f aca="false">COUNTIFS(Checklist!$B$4:$B$221,$A17,Checklist!$I$4:$I$221,"Sim",Checklist!$J$4:$J$221,"Omisso")</f>
        <v>0</v>
      </c>
      <c r="E17" s="22" t="n">
        <f aca="false">COUNTIFS(Checklist!$B$4:$B$221,$A17,Checklist!$I$4:$I$221,"Sim",Checklist!$J$4:$J$221,"A esclarecer")</f>
        <v>0</v>
      </c>
      <c r="F17" s="22" t="n">
        <f aca="false">COUNTIFS(Checklist!$B$4:$B$221,$A17,Checklist!$I$4:$I$221,"Sim",Checklist!$J$4:$J$221,"N/A")</f>
        <v>0</v>
      </c>
      <c r="G17" s="22" t="n">
        <f aca="false">B17-SUM(C17:F17)</f>
        <v>7</v>
      </c>
      <c r="H17" s="23" t="n">
        <f aca="false">IF(B17=0,"-",(B17-G17)/B17)</f>
        <v>0</v>
      </c>
      <c r="I17" s="22" t="n">
        <f aca="false">COUNTIFS(Checklist!$B$4:$B$221,$A17,Checklist!$I$4:$I$221,"Sim",Checklist!$J$4:$J$221,"Omisso",Checklist!$H$4:$H$221,"Alta")</f>
        <v>0</v>
      </c>
      <c r="J17" s="24" t="n">
        <f aca="false">SUMIFS(Checklist!$N$4:$N$221,Checklist!$B$4:$B$221,$A17,Checklist!$I$4:$I$221,"Sim")</f>
        <v>0</v>
      </c>
    </row>
    <row r="18" customFormat="false" ht="15" hidden="false" customHeight="false" outlineLevel="0" collapsed="false">
      <c r="A18" s="21" t="s">
        <v>85</v>
      </c>
      <c r="B18" s="22" t="n">
        <f aca="false">COUNTIFS(Checklist!$B$4:$B$221,$A18,Checklist!$I$4:$I$221,"Sim")</f>
        <v>5</v>
      </c>
      <c r="C18" s="22" t="n">
        <f aca="false">COUNTIFS(Checklist!$B$4:$B$221,$A18,Checklist!$I$4:$I$221,"Sim",Checklist!$J$4:$J$221,"OK")</f>
        <v>0</v>
      </c>
      <c r="D18" s="22" t="n">
        <f aca="false">COUNTIFS(Checklist!$B$4:$B$221,$A18,Checklist!$I$4:$I$221,"Sim",Checklist!$J$4:$J$221,"Omisso")</f>
        <v>0</v>
      </c>
      <c r="E18" s="22" t="n">
        <f aca="false">COUNTIFS(Checklist!$B$4:$B$221,$A18,Checklist!$I$4:$I$221,"Sim",Checklist!$J$4:$J$221,"A esclarecer")</f>
        <v>0</v>
      </c>
      <c r="F18" s="22" t="n">
        <f aca="false">COUNTIFS(Checklist!$B$4:$B$221,$A18,Checklist!$I$4:$I$221,"Sim",Checklist!$J$4:$J$221,"N/A")</f>
        <v>0</v>
      </c>
      <c r="G18" s="22" t="n">
        <f aca="false">B18-SUM(C18:F18)</f>
        <v>5</v>
      </c>
      <c r="H18" s="23" t="n">
        <f aca="false">IF(B18=0,"-",(B18-G18)/B18)</f>
        <v>0</v>
      </c>
      <c r="I18" s="22" t="n">
        <f aca="false">COUNTIFS(Checklist!$B$4:$B$221,$A18,Checklist!$I$4:$I$221,"Sim",Checklist!$J$4:$J$221,"Omisso",Checklist!$H$4:$H$221,"Alta")</f>
        <v>0</v>
      </c>
      <c r="J18" s="24" t="n">
        <f aca="false">SUMIFS(Checklist!$N$4:$N$221,Checklist!$B$4:$B$221,$A18,Checklist!$I$4:$I$221,"Sim")</f>
        <v>0</v>
      </c>
    </row>
    <row r="19" customFormat="false" ht="15" hidden="false" customHeight="false" outlineLevel="0" collapsed="false">
      <c r="A19" s="21" t="s">
        <v>86</v>
      </c>
      <c r="B19" s="22" t="n">
        <f aca="false">COUNTIFS(Checklist!$B$4:$B$221,$A19,Checklist!$I$4:$I$221,"Sim")</f>
        <v>5</v>
      </c>
      <c r="C19" s="22" t="n">
        <f aca="false">COUNTIFS(Checklist!$B$4:$B$221,$A19,Checklist!$I$4:$I$221,"Sim",Checklist!$J$4:$J$221,"OK")</f>
        <v>0</v>
      </c>
      <c r="D19" s="22" t="n">
        <f aca="false">COUNTIFS(Checklist!$B$4:$B$221,$A19,Checklist!$I$4:$I$221,"Sim",Checklist!$J$4:$J$221,"Omisso")</f>
        <v>0</v>
      </c>
      <c r="E19" s="22" t="n">
        <f aca="false">COUNTIFS(Checklist!$B$4:$B$221,$A19,Checklist!$I$4:$I$221,"Sim",Checklist!$J$4:$J$221,"A esclarecer")</f>
        <v>0</v>
      </c>
      <c r="F19" s="22" t="n">
        <f aca="false">COUNTIFS(Checklist!$B$4:$B$221,$A19,Checklist!$I$4:$I$221,"Sim",Checklist!$J$4:$J$221,"N/A")</f>
        <v>0</v>
      </c>
      <c r="G19" s="22" t="n">
        <f aca="false">B19-SUM(C19:F19)</f>
        <v>5</v>
      </c>
      <c r="H19" s="23" t="n">
        <f aca="false">IF(B19=0,"-",(B19-G19)/B19)</f>
        <v>0</v>
      </c>
      <c r="I19" s="22" t="n">
        <f aca="false">COUNTIFS(Checklist!$B$4:$B$221,$A19,Checklist!$I$4:$I$221,"Sim",Checklist!$J$4:$J$221,"Omisso",Checklist!$H$4:$H$221,"Alta")</f>
        <v>0</v>
      </c>
      <c r="J19" s="24" t="n">
        <f aca="false">SUMIFS(Checklist!$N$4:$N$221,Checklist!$B$4:$B$221,$A19,Checklist!$I$4:$I$221,"Sim")</f>
        <v>0</v>
      </c>
    </row>
    <row r="20" customFormat="false" ht="15" hidden="false" customHeight="false" outlineLevel="0" collapsed="false">
      <c r="A20" s="21" t="s">
        <v>87</v>
      </c>
      <c r="B20" s="22" t="n">
        <f aca="false">COUNTIFS(Checklist!$B$4:$B$221,$A20,Checklist!$I$4:$I$221,"Sim")</f>
        <v>6</v>
      </c>
      <c r="C20" s="22" t="n">
        <f aca="false">COUNTIFS(Checklist!$B$4:$B$221,$A20,Checklist!$I$4:$I$221,"Sim",Checklist!$J$4:$J$221,"OK")</f>
        <v>0</v>
      </c>
      <c r="D20" s="22" t="n">
        <f aca="false">COUNTIFS(Checklist!$B$4:$B$221,$A20,Checklist!$I$4:$I$221,"Sim",Checklist!$J$4:$J$221,"Omisso")</f>
        <v>0</v>
      </c>
      <c r="E20" s="22" t="n">
        <f aca="false">COUNTIFS(Checklist!$B$4:$B$221,$A20,Checklist!$I$4:$I$221,"Sim",Checklist!$J$4:$J$221,"A esclarecer")</f>
        <v>0</v>
      </c>
      <c r="F20" s="22" t="n">
        <f aca="false">COUNTIFS(Checklist!$B$4:$B$221,$A20,Checklist!$I$4:$I$221,"Sim",Checklist!$J$4:$J$221,"N/A")</f>
        <v>0</v>
      </c>
      <c r="G20" s="22" t="n">
        <f aca="false">B20-SUM(C20:F20)</f>
        <v>6</v>
      </c>
      <c r="H20" s="23" t="n">
        <f aca="false">IF(B20=0,"-",(B20-G20)/B20)</f>
        <v>0</v>
      </c>
      <c r="I20" s="22" t="n">
        <f aca="false">COUNTIFS(Checklist!$B$4:$B$221,$A20,Checklist!$I$4:$I$221,"Sim",Checklist!$J$4:$J$221,"Omisso",Checklist!$H$4:$H$221,"Alta")</f>
        <v>0</v>
      </c>
      <c r="J20" s="24" t="n">
        <f aca="false">SUMIFS(Checklist!$N$4:$N$221,Checklist!$B$4:$B$221,$A20,Checklist!$I$4:$I$221,"Sim")</f>
        <v>0</v>
      </c>
    </row>
    <row r="21" customFormat="false" ht="15" hidden="false" customHeight="false" outlineLevel="0" collapsed="false">
      <c r="A21" s="21" t="s">
        <v>88</v>
      </c>
      <c r="B21" s="22" t="n">
        <f aca="false">COUNTIFS(Checklist!$B$4:$B$221,$A21,Checklist!$I$4:$I$221,"Sim")</f>
        <v>4</v>
      </c>
      <c r="C21" s="22" t="n">
        <f aca="false">COUNTIFS(Checklist!$B$4:$B$221,$A21,Checklist!$I$4:$I$221,"Sim",Checklist!$J$4:$J$221,"OK")</f>
        <v>0</v>
      </c>
      <c r="D21" s="22" t="n">
        <f aca="false">COUNTIFS(Checklist!$B$4:$B$221,$A21,Checklist!$I$4:$I$221,"Sim",Checklist!$J$4:$J$221,"Omisso")</f>
        <v>0</v>
      </c>
      <c r="E21" s="22" t="n">
        <f aca="false">COUNTIFS(Checklist!$B$4:$B$221,$A21,Checklist!$I$4:$I$221,"Sim",Checklist!$J$4:$J$221,"A esclarecer")</f>
        <v>0</v>
      </c>
      <c r="F21" s="22" t="n">
        <f aca="false">COUNTIFS(Checklist!$B$4:$B$221,$A21,Checklist!$I$4:$I$221,"Sim",Checklist!$J$4:$J$221,"N/A")</f>
        <v>0</v>
      </c>
      <c r="G21" s="22" t="n">
        <f aca="false">B21-SUM(C21:F21)</f>
        <v>4</v>
      </c>
      <c r="H21" s="23" t="n">
        <f aca="false">IF(B21=0,"-",(B21-G21)/B21)</f>
        <v>0</v>
      </c>
      <c r="I21" s="22" t="n">
        <f aca="false">COUNTIFS(Checklist!$B$4:$B$221,$A21,Checklist!$I$4:$I$221,"Sim",Checklist!$J$4:$J$221,"Omisso",Checklist!$H$4:$H$221,"Alta")</f>
        <v>0</v>
      </c>
      <c r="J21" s="24" t="n">
        <f aca="false">SUMIFS(Checklist!$N$4:$N$221,Checklist!$B$4:$B$221,$A21,Checklist!$I$4:$I$221,"Sim")</f>
        <v>0</v>
      </c>
    </row>
    <row r="22" customFormat="false" ht="15" hidden="false" customHeight="false" outlineLevel="0" collapsed="false">
      <c r="A22" s="25" t="s">
        <v>89</v>
      </c>
      <c r="B22" s="26" t="n">
        <f aca="false">SUM(B5:B21)</f>
        <v>188</v>
      </c>
      <c r="C22" s="26" t="n">
        <f aca="false">SUM(C5:C21)</f>
        <v>0</v>
      </c>
      <c r="D22" s="26" t="n">
        <f aca="false">SUM(D5:D21)</f>
        <v>0</v>
      </c>
      <c r="E22" s="26" t="n">
        <f aca="false">SUM(E5:E21)</f>
        <v>0</v>
      </c>
      <c r="F22" s="26" t="n">
        <f aca="false">SUM(F5:F21)</f>
        <v>0</v>
      </c>
      <c r="G22" s="26" t="n">
        <f aca="false">SUM(G5:G21)</f>
        <v>188</v>
      </c>
      <c r="H22" s="27" t="n">
        <f aca="false">IF(B22=0,"-",(B22-G22)/B22)</f>
        <v>0</v>
      </c>
      <c r="I22" s="26" t="n">
        <f aca="false">SUM(I5:I21)</f>
        <v>0</v>
      </c>
      <c r="J22" s="28" t="n">
        <f aca="false">SUM(J5:J21)</f>
        <v>0</v>
      </c>
    </row>
    <row r="24" customFormat="false" ht="15" hidden="false" customHeight="false" outlineLevel="0" collapsed="false">
      <c r="A24" s="3" t="s">
        <v>90</v>
      </c>
    </row>
    <row r="25" customFormat="false" ht="23.85" hidden="false" customHeight="false" outlineLevel="0" collapsed="false">
      <c r="A25" s="20" t="s">
        <v>91</v>
      </c>
      <c r="B25" s="20" t="s">
        <v>68</v>
      </c>
      <c r="C25" s="20" t="s">
        <v>26</v>
      </c>
      <c r="D25" s="20" t="s">
        <v>28</v>
      </c>
      <c r="E25" s="20" t="s">
        <v>30</v>
      </c>
      <c r="F25" s="20" t="s">
        <v>32</v>
      </c>
      <c r="G25" s="20" t="s">
        <v>69</v>
      </c>
    </row>
    <row r="26" customFormat="false" ht="15" hidden="false" customHeight="false" outlineLevel="0" collapsed="false">
      <c r="A26" s="21" t="s">
        <v>37</v>
      </c>
      <c r="B26" s="22" t="n">
        <f aca="false">COUNTIFS(Checklist!$G$4:$G$221,$A26,Checklist!$I$4:$I$221,"Sim")</f>
        <v>120</v>
      </c>
      <c r="C26" s="22" t="n">
        <f aca="false">COUNTIFS(Checklist!$G$4:$G$221,$A26,Checklist!$I$4:$I$221,"Sim",Checklist!$J$4:$J$221,"OK")</f>
        <v>0</v>
      </c>
      <c r="D26" s="22" t="n">
        <f aca="false">COUNTIFS(Checklist!$G$4:$G$221,$A26,Checklist!$I$4:$I$221,"Sim",Checklist!$J$4:$J$221,"Omisso")</f>
        <v>0</v>
      </c>
      <c r="E26" s="22" t="n">
        <f aca="false">COUNTIFS(Checklist!$G$4:$G$221,$A26,Checklist!$I$4:$I$221,"Sim",Checklist!$J$4:$J$221,"A esclarecer")</f>
        <v>0</v>
      </c>
      <c r="F26" s="22" t="n">
        <f aca="false">COUNTIFS(Checklist!$G$4:$G$221,$A26,Checklist!$I$4:$I$221,"Sim",Checklist!$J$4:$J$221,"N/A")</f>
        <v>0</v>
      </c>
      <c r="G26" s="22" t="n">
        <f aca="false">B26-SUM(C26:F26)</f>
        <v>120</v>
      </c>
    </row>
    <row r="27" customFormat="false" ht="15" hidden="false" customHeight="false" outlineLevel="0" collapsed="false">
      <c r="A27" s="21" t="s">
        <v>39</v>
      </c>
      <c r="B27" s="22" t="n">
        <f aca="false">COUNTIFS(Checklist!$G$4:$G$221,$A27,Checklist!$I$4:$I$221,"Sim")</f>
        <v>11</v>
      </c>
      <c r="C27" s="22" t="n">
        <f aca="false">COUNTIFS(Checklist!$G$4:$G$221,$A27,Checklist!$I$4:$I$221,"Sim",Checklist!$J$4:$J$221,"OK")</f>
        <v>0</v>
      </c>
      <c r="D27" s="22" t="n">
        <f aca="false">COUNTIFS(Checklist!$G$4:$G$221,$A27,Checklist!$I$4:$I$221,"Sim",Checklist!$J$4:$J$221,"Omisso")</f>
        <v>0</v>
      </c>
      <c r="E27" s="22" t="n">
        <f aca="false">COUNTIFS(Checklist!$G$4:$G$221,$A27,Checklist!$I$4:$I$221,"Sim",Checklist!$J$4:$J$221,"A esclarecer")</f>
        <v>0</v>
      </c>
      <c r="F27" s="22" t="n">
        <f aca="false">COUNTIFS(Checklist!$G$4:$G$221,$A27,Checklist!$I$4:$I$221,"Sim",Checklist!$J$4:$J$221,"N/A")</f>
        <v>0</v>
      </c>
      <c r="G27" s="22" t="n">
        <f aca="false">B27-SUM(C27:F27)</f>
        <v>11</v>
      </c>
    </row>
    <row r="28" customFormat="false" ht="15" hidden="false" customHeight="false" outlineLevel="0" collapsed="false">
      <c r="A28" s="21" t="s">
        <v>41</v>
      </c>
      <c r="B28" s="22" t="n">
        <f aca="false">COUNTIFS(Checklist!$G$4:$G$221,$A28,Checklist!$I$4:$I$221,"Sim")</f>
        <v>57</v>
      </c>
      <c r="C28" s="22" t="n">
        <f aca="false">COUNTIFS(Checklist!$G$4:$G$221,$A28,Checklist!$I$4:$I$221,"Sim",Checklist!$J$4:$J$221,"OK")</f>
        <v>0</v>
      </c>
      <c r="D28" s="22" t="n">
        <f aca="false">COUNTIFS(Checklist!$G$4:$G$221,$A28,Checklist!$I$4:$I$221,"Sim",Checklist!$J$4:$J$221,"Omisso")</f>
        <v>0</v>
      </c>
      <c r="E28" s="22" t="n">
        <f aca="false">COUNTIFS(Checklist!$G$4:$G$221,$A28,Checklist!$I$4:$I$221,"Sim",Checklist!$J$4:$J$221,"A esclarecer")</f>
        <v>0</v>
      </c>
      <c r="F28" s="22" t="n">
        <f aca="false">COUNTIFS(Checklist!$G$4:$G$221,$A28,Checklist!$I$4:$I$221,"Sim",Checklist!$J$4:$J$221,"N/A")</f>
        <v>0</v>
      </c>
      <c r="G28" s="22" t="n">
        <f aca="false">B28-SUM(C28:F28)</f>
        <v>57</v>
      </c>
    </row>
    <row r="30" customFormat="false" ht="15" hidden="false" customHeight="false" outlineLevel="0" collapsed="false">
      <c r="A30" s="6" t="s">
        <v>92</v>
      </c>
    </row>
  </sheetData>
  <conditionalFormatting sqref="D5:D21">
    <cfRule type="cellIs" priority="2" operator="greaterThan" aboveAverage="0" equalAverage="0" bottom="0" percent="0" rank="0" text="" dxfId="0">
      <formula>0</formula>
    </cfRule>
  </conditionalFormatting>
  <conditionalFormatting sqref="I5:I21"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60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22"/>
    <col collapsed="false" customWidth="true" hidden="false" outlineLevel="0" max="12" min="12" style="0" width="24"/>
    <col collapsed="false" customWidth="true" hidden="false" outlineLevel="0" max="13" min="13" style="0" width="45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9" t="s">
        <v>93</v>
      </c>
    </row>
    <row r="2" customFormat="false" ht="15" hidden="false" customHeight="false" outlineLevel="0" collapsed="false">
      <c r="A2" s="2" t="str">
        <f aca="false">"Obra: "&amp;IF(Instruções!$C$4="","(preencher em Instruções)",Instruções!$C$4)&amp;"   ·   Tipo: "&amp;IF(Instruções!$C$5="","(todos os pontos)",Instruções!$C$5)</f>
        <v>Obra: (preencher em Instruções)   ·   Tipo: (todos os pontos)</v>
      </c>
    </row>
    <row r="3" customFormat="false" ht="31.5" hidden="false" customHeight="true" outlineLevel="0" collapsed="false">
      <c r="A3" s="20" t="s">
        <v>52</v>
      </c>
      <c r="B3" s="20" t="s">
        <v>67</v>
      </c>
      <c r="C3" s="20" t="s">
        <v>94</v>
      </c>
      <c r="D3" s="20" t="s">
        <v>54</v>
      </c>
      <c r="E3" s="20" t="s">
        <v>95</v>
      </c>
      <c r="F3" s="20" t="s">
        <v>96</v>
      </c>
      <c r="G3" s="20" t="s">
        <v>91</v>
      </c>
      <c r="H3" s="20" t="s">
        <v>97</v>
      </c>
      <c r="I3" s="20" t="s">
        <v>98</v>
      </c>
      <c r="J3" s="29" t="s">
        <v>56</v>
      </c>
      <c r="K3" s="29" t="s">
        <v>99</v>
      </c>
      <c r="L3" s="29" t="s">
        <v>100</v>
      </c>
      <c r="M3" s="29" t="s">
        <v>61</v>
      </c>
      <c r="N3" s="29" t="s">
        <v>63</v>
      </c>
    </row>
    <row r="4" customFormat="false" ht="23.85" hidden="false" customHeight="false" outlineLevel="0" collapsed="false">
      <c r="A4" s="30" t="s">
        <v>101</v>
      </c>
      <c r="B4" s="31" t="s">
        <v>72</v>
      </c>
      <c r="C4" s="31" t="s">
        <v>102</v>
      </c>
      <c r="D4" s="31" t="s">
        <v>103</v>
      </c>
      <c r="E4" s="30" t="s">
        <v>104</v>
      </c>
      <c r="F4" s="31" t="s">
        <v>105</v>
      </c>
      <c r="G4" s="31" t="s">
        <v>37</v>
      </c>
      <c r="H4" s="30" t="s">
        <v>44</v>
      </c>
      <c r="I4" s="30" t="str">
        <f aca="false">IF(OR(E4="Ambas",Instruções!$C$5="",E4=Instruções!$C$5),"Sim","Não")</f>
        <v>Sim</v>
      </c>
      <c r="J4" s="32"/>
      <c r="K4" s="33"/>
      <c r="L4" s="33"/>
      <c r="M4" s="33"/>
      <c r="N4" s="34"/>
    </row>
    <row r="5" customFormat="false" ht="23.85" hidden="false" customHeight="false" outlineLevel="0" collapsed="false">
      <c r="A5" s="30" t="s">
        <v>106</v>
      </c>
      <c r="B5" s="31" t="s">
        <v>72</v>
      </c>
      <c r="C5" s="31" t="s">
        <v>102</v>
      </c>
      <c r="D5" s="31" t="s">
        <v>107</v>
      </c>
      <c r="E5" s="30" t="s">
        <v>104</v>
      </c>
      <c r="F5" s="31" t="s">
        <v>105</v>
      </c>
      <c r="G5" s="31" t="s">
        <v>37</v>
      </c>
      <c r="H5" s="30" t="s">
        <v>46</v>
      </c>
      <c r="I5" s="30" t="str">
        <f aca="false">IF(OR(E5="Ambas",Instruções!$C$5="",E5=Instruções!$C$5),"Sim","Não")</f>
        <v>Sim</v>
      </c>
      <c r="J5" s="32"/>
      <c r="K5" s="33"/>
      <c r="L5" s="33"/>
      <c r="M5" s="33"/>
      <c r="N5" s="34"/>
    </row>
    <row r="6" customFormat="false" ht="15" hidden="false" customHeight="false" outlineLevel="0" collapsed="false">
      <c r="A6" s="30" t="s">
        <v>108</v>
      </c>
      <c r="B6" s="31" t="s">
        <v>72</v>
      </c>
      <c r="C6" s="31" t="s">
        <v>102</v>
      </c>
      <c r="D6" s="31" t="s">
        <v>109</v>
      </c>
      <c r="E6" s="30" t="s">
        <v>104</v>
      </c>
      <c r="F6" s="31" t="s">
        <v>105</v>
      </c>
      <c r="G6" s="31" t="s">
        <v>37</v>
      </c>
      <c r="H6" s="30" t="s">
        <v>44</v>
      </c>
      <c r="I6" s="30" t="str">
        <f aca="false">IF(OR(E6="Ambas",Instruções!$C$5="",E6=Instruções!$C$5),"Sim","Não")</f>
        <v>Sim</v>
      </c>
      <c r="J6" s="32"/>
      <c r="K6" s="33"/>
      <c r="L6" s="33"/>
      <c r="M6" s="33"/>
      <c r="N6" s="34"/>
    </row>
    <row r="7" customFormat="false" ht="23.85" hidden="false" customHeight="false" outlineLevel="0" collapsed="false">
      <c r="A7" s="30" t="s">
        <v>110</v>
      </c>
      <c r="B7" s="31" t="s">
        <v>72</v>
      </c>
      <c r="C7" s="31" t="s">
        <v>102</v>
      </c>
      <c r="D7" s="31" t="s">
        <v>111</v>
      </c>
      <c r="E7" s="30" t="s">
        <v>104</v>
      </c>
      <c r="F7" s="31" t="s">
        <v>105</v>
      </c>
      <c r="G7" s="31" t="s">
        <v>37</v>
      </c>
      <c r="H7" s="30" t="s">
        <v>46</v>
      </c>
      <c r="I7" s="30" t="str">
        <f aca="false">IF(OR(E7="Ambas",Instruções!$C$5="",E7=Instruções!$C$5),"Sim","Não")</f>
        <v>Sim</v>
      </c>
      <c r="J7" s="32"/>
      <c r="K7" s="33"/>
      <c r="L7" s="33"/>
      <c r="M7" s="33"/>
      <c r="N7" s="34"/>
    </row>
    <row r="8" customFormat="false" ht="15" hidden="false" customHeight="false" outlineLevel="0" collapsed="false">
      <c r="A8" s="30" t="s">
        <v>112</v>
      </c>
      <c r="B8" s="31" t="s">
        <v>72</v>
      </c>
      <c r="C8" s="31" t="s">
        <v>102</v>
      </c>
      <c r="D8" s="31" t="s">
        <v>113</v>
      </c>
      <c r="E8" s="30" t="s">
        <v>114</v>
      </c>
      <c r="F8" s="31" t="s">
        <v>105</v>
      </c>
      <c r="G8" s="31" t="s">
        <v>37</v>
      </c>
      <c r="H8" s="30" t="s">
        <v>46</v>
      </c>
      <c r="I8" s="30" t="str">
        <f aca="false">IF(OR(E8="Ambas",Instruções!$C$5="",E8=Instruções!$C$5),"Sim","Não")</f>
        <v>Sim</v>
      </c>
      <c r="J8" s="32"/>
      <c r="K8" s="33"/>
      <c r="L8" s="33"/>
      <c r="M8" s="33"/>
      <c r="N8" s="34"/>
    </row>
    <row r="9" customFormat="false" ht="23.85" hidden="false" customHeight="false" outlineLevel="0" collapsed="false">
      <c r="A9" s="30" t="s">
        <v>115</v>
      </c>
      <c r="B9" s="31" t="s">
        <v>72</v>
      </c>
      <c r="C9" s="31" t="s">
        <v>116</v>
      </c>
      <c r="D9" s="31" t="s">
        <v>117</v>
      </c>
      <c r="E9" s="30" t="s">
        <v>104</v>
      </c>
      <c r="F9" s="31" t="s">
        <v>118</v>
      </c>
      <c r="G9" s="31" t="s">
        <v>37</v>
      </c>
      <c r="H9" s="30" t="s">
        <v>46</v>
      </c>
      <c r="I9" s="30" t="str">
        <f aca="false">IF(OR(E9="Ambas",Instruções!$C$5="",E9=Instruções!$C$5),"Sim","Não")</f>
        <v>Sim</v>
      </c>
      <c r="J9" s="32"/>
      <c r="K9" s="33"/>
      <c r="L9" s="33"/>
      <c r="M9" s="33"/>
      <c r="N9" s="34"/>
    </row>
    <row r="10" customFormat="false" ht="23.85" hidden="false" customHeight="false" outlineLevel="0" collapsed="false">
      <c r="A10" s="30" t="s">
        <v>119</v>
      </c>
      <c r="B10" s="31" t="s">
        <v>72</v>
      </c>
      <c r="C10" s="31" t="s">
        <v>116</v>
      </c>
      <c r="D10" s="31" t="s">
        <v>120</v>
      </c>
      <c r="E10" s="30" t="s">
        <v>104</v>
      </c>
      <c r="F10" s="31" t="s">
        <v>105</v>
      </c>
      <c r="G10" s="31" t="s">
        <v>37</v>
      </c>
      <c r="H10" s="30" t="s">
        <v>44</v>
      </c>
      <c r="I10" s="30" t="str">
        <f aca="false">IF(OR(E10="Ambas",Instruções!$C$5="",E10=Instruções!$C$5),"Sim","Não")</f>
        <v>Sim</v>
      </c>
      <c r="J10" s="32"/>
      <c r="K10" s="33"/>
      <c r="L10" s="33"/>
      <c r="M10" s="33"/>
      <c r="N10" s="34"/>
    </row>
    <row r="11" customFormat="false" ht="23.85" hidden="false" customHeight="false" outlineLevel="0" collapsed="false">
      <c r="A11" s="30" t="s">
        <v>121</v>
      </c>
      <c r="B11" s="31" t="s">
        <v>72</v>
      </c>
      <c r="C11" s="31" t="s">
        <v>116</v>
      </c>
      <c r="D11" s="31" t="s">
        <v>122</v>
      </c>
      <c r="E11" s="30" t="s">
        <v>104</v>
      </c>
      <c r="F11" s="31" t="s">
        <v>123</v>
      </c>
      <c r="G11" s="31" t="s">
        <v>37</v>
      </c>
      <c r="H11" s="30" t="s">
        <v>46</v>
      </c>
      <c r="I11" s="30" t="str">
        <f aca="false">IF(OR(E11="Ambas",Instruções!$C$5="",E11=Instruções!$C$5),"Sim","Não")</f>
        <v>Sim</v>
      </c>
      <c r="J11" s="32"/>
      <c r="K11" s="33"/>
      <c r="L11" s="33"/>
      <c r="M11" s="33"/>
      <c r="N11" s="34"/>
    </row>
    <row r="12" customFormat="false" ht="15" hidden="false" customHeight="false" outlineLevel="0" collapsed="false">
      <c r="A12" s="30" t="s">
        <v>124</v>
      </c>
      <c r="B12" s="31" t="s">
        <v>72</v>
      </c>
      <c r="C12" s="31" t="s">
        <v>125</v>
      </c>
      <c r="D12" s="31" t="s">
        <v>126</v>
      </c>
      <c r="E12" s="30" t="s">
        <v>104</v>
      </c>
      <c r="F12" s="31" t="s">
        <v>105</v>
      </c>
      <c r="G12" s="31" t="s">
        <v>37</v>
      </c>
      <c r="H12" s="30" t="s">
        <v>48</v>
      </c>
      <c r="I12" s="30" t="str">
        <f aca="false">IF(OR(E12="Ambas",Instruções!$C$5="",E12=Instruções!$C$5),"Sim","Não")</f>
        <v>Sim</v>
      </c>
      <c r="J12" s="32"/>
      <c r="K12" s="33"/>
      <c r="L12" s="33"/>
      <c r="M12" s="33"/>
      <c r="N12" s="34"/>
    </row>
    <row r="13" customFormat="false" ht="15" hidden="false" customHeight="false" outlineLevel="0" collapsed="false">
      <c r="A13" s="30" t="s">
        <v>127</v>
      </c>
      <c r="B13" s="31" t="s">
        <v>72</v>
      </c>
      <c r="C13" s="31" t="s">
        <v>125</v>
      </c>
      <c r="D13" s="31" t="s">
        <v>128</v>
      </c>
      <c r="E13" s="30" t="s">
        <v>104</v>
      </c>
      <c r="F13" s="31" t="s">
        <v>118</v>
      </c>
      <c r="G13" s="31" t="s">
        <v>37</v>
      </c>
      <c r="H13" s="30" t="s">
        <v>46</v>
      </c>
      <c r="I13" s="30" t="str">
        <f aca="false">IF(OR(E13="Ambas",Instruções!$C$5="",E13=Instruções!$C$5),"Sim","Não")</f>
        <v>Sim</v>
      </c>
      <c r="J13" s="32"/>
      <c r="K13" s="33"/>
      <c r="L13" s="33"/>
      <c r="M13" s="33"/>
      <c r="N13" s="34"/>
    </row>
    <row r="14" customFormat="false" ht="23.85" hidden="false" customHeight="false" outlineLevel="0" collapsed="false">
      <c r="A14" s="30" t="s">
        <v>129</v>
      </c>
      <c r="B14" s="31" t="s">
        <v>72</v>
      </c>
      <c r="C14" s="31" t="s">
        <v>130</v>
      </c>
      <c r="D14" s="31" t="s">
        <v>131</v>
      </c>
      <c r="E14" s="30" t="s">
        <v>104</v>
      </c>
      <c r="F14" s="31" t="s">
        <v>132</v>
      </c>
      <c r="G14" s="31" t="s">
        <v>41</v>
      </c>
      <c r="H14" s="30" t="s">
        <v>44</v>
      </c>
      <c r="I14" s="30" t="str">
        <f aca="false">IF(OR(E14="Ambas",Instruções!$C$5="",E14=Instruções!$C$5),"Sim","Não")</f>
        <v>Sim</v>
      </c>
      <c r="J14" s="32"/>
      <c r="K14" s="33"/>
      <c r="L14" s="33"/>
      <c r="M14" s="33"/>
      <c r="N14" s="34"/>
    </row>
    <row r="15" customFormat="false" ht="23.85" hidden="false" customHeight="false" outlineLevel="0" collapsed="false">
      <c r="A15" s="30" t="s">
        <v>133</v>
      </c>
      <c r="B15" s="31" t="s">
        <v>72</v>
      </c>
      <c r="C15" s="31" t="s">
        <v>130</v>
      </c>
      <c r="D15" s="31" t="s">
        <v>134</v>
      </c>
      <c r="E15" s="30" t="s">
        <v>104</v>
      </c>
      <c r="F15" s="31" t="s">
        <v>135</v>
      </c>
      <c r="G15" s="31" t="s">
        <v>41</v>
      </c>
      <c r="H15" s="30" t="s">
        <v>44</v>
      </c>
      <c r="I15" s="30" t="str">
        <f aca="false">IF(OR(E15="Ambas",Instruções!$C$5="",E15=Instruções!$C$5),"Sim","Não")</f>
        <v>Sim</v>
      </c>
      <c r="J15" s="32"/>
      <c r="K15" s="33"/>
      <c r="L15" s="33"/>
      <c r="M15" s="33"/>
      <c r="N15" s="34"/>
    </row>
    <row r="16" customFormat="false" ht="23.85" hidden="false" customHeight="false" outlineLevel="0" collapsed="false">
      <c r="A16" s="30" t="s">
        <v>136</v>
      </c>
      <c r="B16" s="31" t="s">
        <v>72</v>
      </c>
      <c r="C16" s="31" t="s">
        <v>130</v>
      </c>
      <c r="D16" s="31" t="s">
        <v>137</v>
      </c>
      <c r="E16" s="30" t="s">
        <v>104</v>
      </c>
      <c r="F16" s="31" t="s">
        <v>118</v>
      </c>
      <c r="G16" s="31" t="s">
        <v>39</v>
      </c>
      <c r="H16" s="30" t="s">
        <v>46</v>
      </c>
      <c r="I16" s="30" t="str">
        <f aca="false">IF(OR(E16="Ambas",Instruções!$C$5="",E16=Instruções!$C$5),"Sim","Não")</f>
        <v>Sim</v>
      </c>
      <c r="J16" s="32"/>
      <c r="K16" s="33"/>
      <c r="L16" s="33"/>
      <c r="M16" s="33"/>
      <c r="N16" s="34"/>
    </row>
    <row r="17" customFormat="false" ht="23.85" hidden="false" customHeight="false" outlineLevel="0" collapsed="false">
      <c r="A17" s="30" t="s">
        <v>138</v>
      </c>
      <c r="B17" s="31" t="s">
        <v>73</v>
      </c>
      <c r="C17" s="31" t="s">
        <v>139</v>
      </c>
      <c r="D17" s="31" t="s">
        <v>140</v>
      </c>
      <c r="E17" s="30" t="s">
        <v>141</v>
      </c>
      <c r="F17" s="31" t="s">
        <v>142</v>
      </c>
      <c r="G17" s="31" t="s">
        <v>39</v>
      </c>
      <c r="H17" s="30" t="s">
        <v>44</v>
      </c>
      <c r="I17" s="30" t="str">
        <f aca="false">IF(OR(E17="Ambas",Instruções!$C$5="",E17=Instruções!$C$5),"Sim","Não")</f>
        <v>Sim</v>
      </c>
      <c r="J17" s="32"/>
      <c r="K17" s="33"/>
      <c r="L17" s="33"/>
      <c r="M17" s="33"/>
      <c r="N17" s="34"/>
    </row>
    <row r="18" customFormat="false" ht="23.85" hidden="false" customHeight="false" outlineLevel="0" collapsed="false">
      <c r="A18" s="30" t="s">
        <v>143</v>
      </c>
      <c r="B18" s="31" t="s">
        <v>73</v>
      </c>
      <c r="C18" s="31" t="s">
        <v>139</v>
      </c>
      <c r="D18" s="31" t="s">
        <v>144</v>
      </c>
      <c r="E18" s="30" t="s">
        <v>141</v>
      </c>
      <c r="F18" s="31" t="s">
        <v>145</v>
      </c>
      <c r="G18" s="31" t="s">
        <v>39</v>
      </c>
      <c r="H18" s="30" t="s">
        <v>44</v>
      </c>
      <c r="I18" s="30" t="str">
        <f aca="false">IF(OR(E18="Ambas",Instruções!$C$5="",E18=Instruções!$C$5),"Sim","Não")</f>
        <v>Sim</v>
      </c>
      <c r="J18" s="32"/>
      <c r="K18" s="33"/>
      <c r="L18" s="33"/>
      <c r="M18" s="33"/>
      <c r="N18" s="34"/>
    </row>
    <row r="19" customFormat="false" ht="23.85" hidden="false" customHeight="false" outlineLevel="0" collapsed="false">
      <c r="A19" s="30" t="s">
        <v>146</v>
      </c>
      <c r="B19" s="31" t="s">
        <v>73</v>
      </c>
      <c r="C19" s="31" t="s">
        <v>147</v>
      </c>
      <c r="D19" s="31" t="s">
        <v>148</v>
      </c>
      <c r="E19" s="30" t="s">
        <v>141</v>
      </c>
      <c r="F19" s="31" t="s">
        <v>149</v>
      </c>
      <c r="G19" s="31" t="s">
        <v>41</v>
      </c>
      <c r="H19" s="30" t="s">
        <v>44</v>
      </c>
      <c r="I19" s="30" t="str">
        <f aca="false">IF(OR(E19="Ambas",Instruções!$C$5="",E19=Instruções!$C$5),"Sim","Não")</f>
        <v>Sim</v>
      </c>
      <c r="J19" s="32"/>
      <c r="K19" s="33"/>
      <c r="L19" s="33"/>
      <c r="M19" s="33"/>
      <c r="N19" s="34"/>
    </row>
    <row r="20" customFormat="false" ht="23.85" hidden="false" customHeight="false" outlineLevel="0" collapsed="false">
      <c r="A20" s="30" t="s">
        <v>150</v>
      </c>
      <c r="B20" s="31" t="s">
        <v>73</v>
      </c>
      <c r="C20" s="31" t="s">
        <v>147</v>
      </c>
      <c r="D20" s="31" t="s">
        <v>151</v>
      </c>
      <c r="E20" s="30" t="s">
        <v>141</v>
      </c>
      <c r="F20" s="31" t="s">
        <v>152</v>
      </c>
      <c r="G20" s="31" t="s">
        <v>37</v>
      </c>
      <c r="H20" s="30" t="s">
        <v>44</v>
      </c>
      <c r="I20" s="30" t="str">
        <f aca="false">IF(OR(E20="Ambas",Instruções!$C$5="",E20=Instruções!$C$5),"Sim","Não")</f>
        <v>Sim</v>
      </c>
      <c r="J20" s="32"/>
      <c r="K20" s="33"/>
      <c r="L20" s="33"/>
      <c r="M20" s="33"/>
      <c r="N20" s="34"/>
    </row>
    <row r="21" customFormat="false" ht="23.85" hidden="false" customHeight="false" outlineLevel="0" collapsed="false">
      <c r="A21" s="30" t="s">
        <v>153</v>
      </c>
      <c r="B21" s="31" t="s">
        <v>73</v>
      </c>
      <c r="C21" s="31" t="s">
        <v>147</v>
      </c>
      <c r="D21" s="31" t="s">
        <v>154</v>
      </c>
      <c r="E21" s="30" t="s">
        <v>141</v>
      </c>
      <c r="F21" s="31" t="s">
        <v>105</v>
      </c>
      <c r="G21" s="31" t="s">
        <v>37</v>
      </c>
      <c r="H21" s="30" t="s">
        <v>46</v>
      </c>
      <c r="I21" s="30" t="str">
        <f aca="false">IF(OR(E21="Ambas",Instruções!$C$5="",E21=Instruções!$C$5),"Sim","Não")</f>
        <v>Sim</v>
      </c>
      <c r="J21" s="32"/>
      <c r="K21" s="33"/>
      <c r="L21" s="33"/>
      <c r="M21" s="33"/>
      <c r="N21" s="34"/>
    </row>
    <row r="22" customFormat="false" ht="23.85" hidden="false" customHeight="false" outlineLevel="0" collapsed="false">
      <c r="A22" s="30" t="s">
        <v>155</v>
      </c>
      <c r="B22" s="31" t="s">
        <v>73</v>
      </c>
      <c r="C22" s="31" t="s">
        <v>147</v>
      </c>
      <c r="D22" s="31" t="s">
        <v>156</v>
      </c>
      <c r="E22" s="30" t="s">
        <v>141</v>
      </c>
      <c r="F22" s="31" t="s">
        <v>105</v>
      </c>
      <c r="G22" s="31" t="s">
        <v>37</v>
      </c>
      <c r="H22" s="30" t="s">
        <v>48</v>
      </c>
      <c r="I22" s="30" t="str">
        <f aca="false">IF(OR(E22="Ambas",Instruções!$C$5="",E22=Instruções!$C$5),"Sim","Não")</f>
        <v>Sim</v>
      </c>
      <c r="J22" s="32"/>
      <c r="K22" s="33"/>
      <c r="L22" s="33"/>
      <c r="M22" s="33"/>
      <c r="N22" s="34"/>
    </row>
    <row r="23" customFormat="false" ht="23.85" hidden="false" customHeight="false" outlineLevel="0" collapsed="false">
      <c r="A23" s="30" t="s">
        <v>157</v>
      </c>
      <c r="B23" s="31" t="s">
        <v>73</v>
      </c>
      <c r="C23" s="31" t="s">
        <v>147</v>
      </c>
      <c r="D23" s="31" t="s">
        <v>158</v>
      </c>
      <c r="E23" s="30" t="s">
        <v>141</v>
      </c>
      <c r="F23" s="31" t="s">
        <v>105</v>
      </c>
      <c r="G23" s="31" t="s">
        <v>37</v>
      </c>
      <c r="H23" s="30" t="s">
        <v>46</v>
      </c>
      <c r="I23" s="30" t="str">
        <f aca="false">IF(OR(E23="Ambas",Instruções!$C$5="",E23=Instruções!$C$5),"Sim","Não")</f>
        <v>Sim</v>
      </c>
      <c r="J23" s="32"/>
      <c r="K23" s="33"/>
      <c r="L23" s="33"/>
      <c r="M23" s="33"/>
      <c r="N23" s="34"/>
    </row>
    <row r="24" customFormat="false" ht="23.85" hidden="false" customHeight="false" outlineLevel="0" collapsed="false">
      <c r="A24" s="30" t="s">
        <v>159</v>
      </c>
      <c r="B24" s="31" t="s">
        <v>73</v>
      </c>
      <c r="C24" s="31" t="s">
        <v>147</v>
      </c>
      <c r="D24" s="31" t="s">
        <v>160</v>
      </c>
      <c r="E24" s="30" t="s">
        <v>141</v>
      </c>
      <c r="F24" s="31" t="s">
        <v>145</v>
      </c>
      <c r="G24" s="31" t="s">
        <v>37</v>
      </c>
      <c r="H24" s="30" t="s">
        <v>44</v>
      </c>
      <c r="I24" s="30" t="str">
        <f aca="false">IF(OR(E24="Ambas",Instruções!$C$5="",E24=Instruções!$C$5),"Sim","Não")</f>
        <v>Sim</v>
      </c>
      <c r="J24" s="32"/>
      <c r="K24" s="33"/>
      <c r="L24" s="33"/>
      <c r="M24" s="33"/>
      <c r="N24" s="34"/>
    </row>
    <row r="25" customFormat="false" ht="23.85" hidden="false" customHeight="false" outlineLevel="0" collapsed="false">
      <c r="A25" s="30" t="s">
        <v>161</v>
      </c>
      <c r="B25" s="31" t="s">
        <v>73</v>
      </c>
      <c r="C25" s="31" t="s">
        <v>162</v>
      </c>
      <c r="D25" s="31" t="s">
        <v>163</v>
      </c>
      <c r="E25" s="30" t="s">
        <v>141</v>
      </c>
      <c r="F25" s="31" t="s">
        <v>105</v>
      </c>
      <c r="G25" s="31" t="s">
        <v>37</v>
      </c>
      <c r="H25" s="30" t="s">
        <v>46</v>
      </c>
      <c r="I25" s="30" t="str">
        <f aca="false">IF(OR(E25="Ambas",Instruções!$C$5="",E25=Instruções!$C$5),"Sim","Não")</f>
        <v>Sim</v>
      </c>
      <c r="J25" s="32"/>
      <c r="K25" s="33"/>
      <c r="L25" s="33"/>
      <c r="M25" s="33"/>
      <c r="N25" s="34"/>
    </row>
    <row r="26" customFormat="false" ht="23.85" hidden="false" customHeight="false" outlineLevel="0" collapsed="false">
      <c r="A26" s="30" t="s">
        <v>164</v>
      </c>
      <c r="B26" s="31" t="s">
        <v>73</v>
      </c>
      <c r="C26" s="31" t="s">
        <v>162</v>
      </c>
      <c r="D26" s="31" t="s">
        <v>165</v>
      </c>
      <c r="E26" s="30" t="s">
        <v>141</v>
      </c>
      <c r="F26" s="31" t="s">
        <v>145</v>
      </c>
      <c r="G26" s="31" t="s">
        <v>37</v>
      </c>
      <c r="H26" s="30" t="s">
        <v>46</v>
      </c>
      <c r="I26" s="30" t="str">
        <f aca="false">IF(OR(E26="Ambas",Instruções!$C$5="",E26=Instruções!$C$5),"Sim","Não")</f>
        <v>Sim</v>
      </c>
      <c r="J26" s="32"/>
      <c r="K26" s="33"/>
      <c r="L26" s="33"/>
      <c r="M26" s="33"/>
      <c r="N26" s="34"/>
    </row>
    <row r="27" customFormat="false" ht="23.85" hidden="false" customHeight="false" outlineLevel="0" collapsed="false">
      <c r="A27" s="30" t="s">
        <v>166</v>
      </c>
      <c r="B27" s="31" t="s">
        <v>73</v>
      </c>
      <c r="C27" s="31" t="s">
        <v>162</v>
      </c>
      <c r="D27" s="31" t="s">
        <v>167</v>
      </c>
      <c r="E27" s="30" t="s">
        <v>141</v>
      </c>
      <c r="F27" s="31" t="s">
        <v>105</v>
      </c>
      <c r="G27" s="31" t="s">
        <v>37</v>
      </c>
      <c r="H27" s="30" t="s">
        <v>48</v>
      </c>
      <c r="I27" s="30" t="str">
        <f aca="false">IF(OR(E27="Ambas",Instruções!$C$5="",E27=Instruções!$C$5),"Sim","Não")</f>
        <v>Sim</v>
      </c>
      <c r="J27" s="32"/>
      <c r="K27" s="33"/>
      <c r="L27" s="33"/>
      <c r="M27" s="33"/>
      <c r="N27" s="34"/>
    </row>
    <row r="28" customFormat="false" ht="23.85" hidden="false" customHeight="false" outlineLevel="0" collapsed="false">
      <c r="A28" s="30" t="s">
        <v>168</v>
      </c>
      <c r="B28" s="31" t="s">
        <v>74</v>
      </c>
      <c r="C28" s="31" t="s">
        <v>169</v>
      </c>
      <c r="D28" s="31" t="s">
        <v>170</v>
      </c>
      <c r="E28" s="30" t="s">
        <v>114</v>
      </c>
      <c r="F28" s="31" t="s">
        <v>171</v>
      </c>
      <c r="G28" s="31" t="s">
        <v>39</v>
      </c>
      <c r="H28" s="30" t="s">
        <v>44</v>
      </c>
      <c r="I28" s="30" t="str">
        <f aca="false">IF(OR(E28="Ambas",Instruções!$C$5="",E28=Instruções!$C$5),"Sim","Não")</f>
        <v>Sim</v>
      </c>
      <c r="J28" s="32"/>
      <c r="K28" s="33"/>
      <c r="L28" s="33"/>
      <c r="M28" s="33"/>
      <c r="N28" s="34"/>
    </row>
    <row r="29" customFormat="false" ht="23.85" hidden="false" customHeight="false" outlineLevel="0" collapsed="false">
      <c r="A29" s="30" t="s">
        <v>172</v>
      </c>
      <c r="B29" s="31" t="s">
        <v>74</v>
      </c>
      <c r="C29" s="31" t="s">
        <v>173</v>
      </c>
      <c r="D29" s="31" t="s">
        <v>174</v>
      </c>
      <c r="E29" s="30" t="s">
        <v>114</v>
      </c>
      <c r="F29" s="31" t="s">
        <v>105</v>
      </c>
      <c r="G29" s="31" t="s">
        <v>37</v>
      </c>
      <c r="H29" s="30" t="s">
        <v>46</v>
      </c>
      <c r="I29" s="30" t="str">
        <f aca="false">IF(OR(E29="Ambas",Instruções!$C$5="",E29=Instruções!$C$5),"Sim","Não")</f>
        <v>Sim</v>
      </c>
      <c r="J29" s="32"/>
      <c r="K29" s="33"/>
      <c r="L29" s="33"/>
      <c r="M29" s="33"/>
      <c r="N29" s="34"/>
    </row>
    <row r="30" customFormat="false" ht="23.85" hidden="false" customHeight="false" outlineLevel="0" collapsed="false">
      <c r="A30" s="30" t="s">
        <v>175</v>
      </c>
      <c r="B30" s="31" t="s">
        <v>74</v>
      </c>
      <c r="C30" s="31" t="s">
        <v>173</v>
      </c>
      <c r="D30" s="31" t="s">
        <v>176</v>
      </c>
      <c r="E30" s="30" t="s">
        <v>114</v>
      </c>
      <c r="F30" s="31" t="s">
        <v>105</v>
      </c>
      <c r="G30" s="31" t="s">
        <v>37</v>
      </c>
      <c r="H30" s="30" t="s">
        <v>44</v>
      </c>
      <c r="I30" s="30" t="str">
        <f aca="false">IF(OR(E30="Ambas",Instruções!$C$5="",E30=Instruções!$C$5),"Sim","Não")</f>
        <v>Sim</v>
      </c>
      <c r="J30" s="32"/>
      <c r="K30" s="33"/>
      <c r="L30" s="33"/>
      <c r="M30" s="33"/>
      <c r="N30" s="34"/>
    </row>
    <row r="31" customFormat="false" ht="23.85" hidden="false" customHeight="false" outlineLevel="0" collapsed="false">
      <c r="A31" s="30" t="s">
        <v>177</v>
      </c>
      <c r="B31" s="31" t="s">
        <v>74</v>
      </c>
      <c r="C31" s="31" t="s">
        <v>173</v>
      </c>
      <c r="D31" s="31" t="s">
        <v>178</v>
      </c>
      <c r="E31" s="30" t="s">
        <v>114</v>
      </c>
      <c r="F31" s="31" t="s">
        <v>152</v>
      </c>
      <c r="G31" s="31" t="s">
        <v>37</v>
      </c>
      <c r="H31" s="30" t="s">
        <v>44</v>
      </c>
      <c r="I31" s="30" t="str">
        <f aca="false">IF(OR(E31="Ambas",Instruções!$C$5="",E31=Instruções!$C$5),"Sim","Não")</f>
        <v>Sim</v>
      </c>
      <c r="J31" s="32"/>
      <c r="K31" s="33"/>
      <c r="L31" s="33"/>
      <c r="M31" s="33"/>
      <c r="N31" s="34"/>
    </row>
    <row r="32" customFormat="false" ht="23.85" hidden="false" customHeight="false" outlineLevel="0" collapsed="false">
      <c r="A32" s="30" t="s">
        <v>179</v>
      </c>
      <c r="B32" s="31" t="s">
        <v>74</v>
      </c>
      <c r="C32" s="31" t="s">
        <v>173</v>
      </c>
      <c r="D32" s="31" t="s">
        <v>180</v>
      </c>
      <c r="E32" s="30" t="s">
        <v>114</v>
      </c>
      <c r="F32" s="31" t="s">
        <v>105</v>
      </c>
      <c r="G32" s="31" t="s">
        <v>37</v>
      </c>
      <c r="H32" s="30" t="s">
        <v>46</v>
      </c>
      <c r="I32" s="30" t="str">
        <f aca="false">IF(OR(E32="Ambas",Instruções!$C$5="",E32=Instruções!$C$5),"Sim","Não")</f>
        <v>Sim</v>
      </c>
      <c r="J32" s="32"/>
      <c r="K32" s="33"/>
      <c r="L32" s="33"/>
      <c r="M32" s="33"/>
      <c r="N32" s="34"/>
    </row>
    <row r="33" customFormat="false" ht="23.85" hidden="false" customHeight="false" outlineLevel="0" collapsed="false">
      <c r="A33" s="30" t="s">
        <v>181</v>
      </c>
      <c r="B33" s="31" t="s">
        <v>74</v>
      </c>
      <c r="C33" s="31" t="s">
        <v>173</v>
      </c>
      <c r="D33" s="31" t="s">
        <v>182</v>
      </c>
      <c r="E33" s="30" t="s">
        <v>114</v>
      </c>
      <c r="F33" s="31" t="s">
        <v>105</v>
      </c>
      <c r="G33" s="31" t="s">
        <v>37</v>
      </c>
      <c r="H33" s="30" t="s">
        <v>44</v>
      </c>
      <c r="I33" s="30" t="str">
        <f aca="false">IF(OR(E33="Ambas",Instruções!$C$5="",E33=Instruções!$C$5),"Sim","Não")</f>
        <v>Sim</v>
      </c>
      <c r="J33" s="32"/>
      <c r="K33" s="33"/>
      <c r="L33" s="33"/>
      <c r="M33" s="33"/>
      <c r="N33" s="34"/>
    </row>
    <row r="34" customFormat="false" ht="23.85" hidden="false" customHeight="false" outlineLevel="0" collapsed="false">
      <c r="A34" s="30" t="s">
        <v>183</v>
      </c>
      <c r="B34" s="31" t="s">
        <v>74</v>
      </c>
      <c r="C34" s="31" t="s">
        <v>184</v>
      </c>
      <c r="D34" s="31" t="s">
        <v>185</v>
      </c>
      <c r="E34" s="30" t="s">
        <v>114</v>
      </c>
      <c r="F34" s="31" t="s">
        <v>105</v>
      </c>
      <c r="G34" s="31" t="s">
        <v>37</v>
      </c>
      <c r="H34" s="30" t="s">
        <v>46</v>
      </c>
      <c r="I34" s="30" t="str">
        <f aca="false">IF(OR(E34="Ambas",Instruções!$C$5="",E34=Instruções!$C$5),"Sim","Não")</f>
        <v>Sim</v>
      </c>
      <c r="J34" s="32"/>
      <c r="K34" s="33"/>
      <c r="L34" s="33"/>
      <c r="M34" s="33"/>
      <c r="N34" s="34"/>
    </row>
    <row r="35" customFormat="false" ht="23.85" hidden="false" customHeight="false" outlineLevel="0" collapsed="false">
      <c r="A35" s="30" t="s">
        <v>186</v>
      </c>
      <c r="B35" s="31" t="s">
        <v>74</v>
      </c>
      <c r="C35" s="31" t="s">
        <v>184</v>
      </c>
      <c r="D35" s="31" t="s">
        <v>187</v>
      </c>
      <c r="E35" s="30" t="s">
        <v>114</v>
      </c>
      <c r="F35" s="31" t="s">
        <v>105</v>
      </c>
      <c r="G35" s="31" t="s">
        <v>37</v>
      </c>
      <c r="H35" s="30" t="s">
        <v>46</v>
      </c>
      <c r="I35" s="30" t="str">
        <f aca="false">IF(OR(E35="Ambas",Instruções!$C$5="",E35=Instruções!$C$5),"Sim","Não")</f>
        <v>Sim</v>
      </c>
      <c r="J35" s="32"/>
      <c r="K35" s="33"/>
      <c r="L35" s="33"/>
      <c r="M35" s="33"/>
      <c r="N35" s="34"/>
    </row>
    <row r="36" customFormat="false" ht="23.85" hidden="false" customHeight="false" outlineLevel="0" collapsed="false">
      <c r="A36" s="30" t="s">
        <v>188</v>
      </c>
      <c r="B36" s="31" t="s">
        <v>74</v>
      </c>
      <c r="C36" s="31" t="s">
        <v>189</v>
      </c>
      <c r="D36" s="31" t="s">
        <v>190</v>
      </c>
      <c r="E36" s="30" t="s">
        <v>114</v>
      </c>
      <c r="F36" s="31" t="s">
        <v>105</v>
      </c>
      <c r="G36" s="31" t="s">
        <v>37</v>
      </c>
      <c r="H36" s="30" t="s">
        <v>48</v>
      </c>
      <c r="I36" s="30" t="str">
        <f aca="false">IF(OR(E36="Ambas",Instruções!$C$5="",E36=Instruções!$C$5),"Sim","Não")</f>
        <v>Sim</v>
      </c>
      <c r="J36" s="32"/>
      <c r="K36" s="33"/>
      <c r="L36" s="33"/>
      <c r="M36" s="33"/>
      <c r="N36" s="34"/>
    </row>
    <row r="37" customFormat="false" ht="23.85" hidden="false" customHeight="false" outlineLevel="0" collapsed="false">
      <c r="A37" s="30" t="s">
        <v>191</v>
      </c>
      <c r="B37" s="31" t="s">
        <v>74</v>
      </c>
      <c r="C37" s="31" t="s">
        <v>192</v>
      </c>
      <c r="D37" s="31" t="s">
        <v>193</v>
      </c>
      <c r="E37" s="30" t="s">
        <v>114</v>
      </c>
      <c r="F37" s="31" t="s">
        <v>194</v>
      </c>
      <c r="G37" s="31" t="s">
        <v>37</v>
      </c>
      <c r="H37" s="30" t="s">
        <v>44</v>
      </c>
      <c r="I37" s="30" t="str">
        <f aca="false">IF(OR(E37="Ambas",Instruções!$C$5="",E37=Instruções!$C$5),"Sim","Não")</f>
        <v>Sim</v>
      </c>
      <c r="J37" s="32"/>
      <c r="K37" s="33"/>
      <c r="L37" s="33"/>
      <c r="M37" s="33"/>
      <c r="N37" s="34"/>
    </row>
    <row r="38" customFormat="false" ht="23.85" hidden="false" customHeight="false" outlineLevel="0" collapsed="false">
      <c r="A38" s="30" t="s">
        <v>195</v>
      </c>
      <c r="B38" s="31" t="s">
        <v>74</v>
      </c>
      <c r="C38" s="31" t="s">
        <v>196</v>
      </c>
      <c r="D38" s="31" t="s">
        <v>197</v>
      </c>
      <c r="E38" s="30" t="s">
        <v>104</v>
      </c>
      <c r="F38" s="31" t="s">
        <v>105</v>
      </c>
      <c r="G38" s="31" t="s">
        <v>37</v>
      </c>
      <c r="H38" s="30" t="s">
        <v>46</v>
      </c>
      <c r="I38" s="30" t="str">
        <f aca="false">IF(OR(E38="Ambas",Instruções!$C$5="",E38=Instruções!$C$5),"Sim","Não")</f>
        <v>Sim</v>
      </c>
      <c r="J38" s="32"/>
      <c r="K38" s="33"/>
      <c r="L38" s="33"/>
      <c r="M38" s="33"/>
      <c r="N38" s="34"/>
    </row>
    <row r="39" customFormat="false" ht="23.85" hidden="false" customHeight="false" outlineLevel="0" collapsed="false">
      <c r="A39" s="30" t="s">
        <v>198</v>
      </c>
      <c r="B39" s="31" t="s">
        <v>75</v>
      </c>
      <c r="C39" s="31" t="s">
        <v>199</v>
      </c>
      <c r="D39" s="31" t="s">
        <v>200</v>
      </c>
      <c r="E39" s="30" t="s">
        <v>104</v>
      </c>
      <c r="F39" s="31" t="s">
        <v>201</v>
      </c>
      <c r="G39" s="31" t="s">
        <v>39</v>
      </c>
      <c r="H39" s="30" t="s">
        <v>46</v>
      </c>
      <c r="I39" s="30" t="str">
        <f aca="false">IF(OR(E39="Ambas",Instruções!$C$5="",E39=Instruções!$C$5),"Sim","Não")</f>
        <v>Sim</v>
      </c>
      <c r="J39" s="32"/>
      <c r="K39" s="33"/>
      <c r="L39" s="33"/>
      <c r="M39" s="33"/>
      <c r="N39" s="34"/>
    </row>
    <row r="40" customFormat="false" ht="23.85" hidden="false" customHeight="false" outlineLevel="0" collapsed="false">
      <c r="A40" s="30" t="s">
        <v>202</v>
      </c>
      <c r="B40" s="31" t="s">
        <v>75</v>
      </c>
      <c r="C40" s="31" t="s">
        <v>203</v>
      </c>
      <c r="D40" s="31" t="s">
        <v>204</v>
      </c>
      <c r="E40" s="30" t="s">
        <v>104</v>
      </c>
      <c r="F40" s="31" t="s">
        <v>205</v>
      </c>
      <c r="G40" s="31" t="s">
        <v>37</v>
      </c>
      <c r="H40" s="30" t="s">
        <v>44</v>
      </c>
      <c r="I40" s="30" t="str">
        <f aca="false">IF(OR(E40="Ambas",Instruções!$C$5="",E40=Instruções!$C$5),"Sim","Não")</f>
        <v>Sim</v>
      </c>
      <c r="J40" s="32"/>
      <c r="K40" s="33"/>
      <c r="L40" s="33"/>
      <c r="M40" s="33"/>
      <c r="N40" s="34"/>
    </row>
    <row r="41" customFormat="false" ht="15" hidden="false" customHeight="false" outlineLevel="0" collapsed="false">
      <c r="A41" s="30" t="s">
        <v>206</v>
      </c>
      <c r="B41" s="31" t="s">
        <v>75</v>
      </c>
      <c r="C41" s="31" t="s">
        <v>203</v>
      </c>
      <c r="D41" s="31" t="s">
        <v>207</v>
      </c>
      <c r="E41" s="30" t="s">
        <v>104</v>
      </c>
      <c r="F41" s="31" t="s">
        <v>105</v>
      </c>
      <c r="G41" s="31" t="s">
        <v>37</v>
      </c>
      <c r="H41" s="30" t="s">
        <v>46</v>
      </c>
      <c r="I41" s="30" t="str">
        <f aca="false">IF(OR(E41="Ambas",Instruções!$C$5="",E41=Instruções!$C$5),"Sim","Não")</f>
        <v>Sim</v>
      </c>
      <c r="J41" s="32"/>
      <c r="K41" s="33"/>
      <c r="L41" s="33"/>
      <c r="M41" s="33"/>
      <c r="N41" s="34"/>
    </row>
    <row r="42" customFormat="false" ht="15" hidden="false" customHeight="false" outlineLevel="0" collapsed="false">
      <c r="A42" s="30" t="s">
        <v>208</v>
      </c>
      <c r="B42" s="31" t="s">
        <v>75</v>
      </c>
      <c r="C42" s="31" t="s">
        <v>203</v>
      </c>
      <c r="D42" s="31" t="s">
        <v>209</v>
      </c>
      <c r="E42" s="30" t="s">
        <v>104</v>
      </c>
      <c r="F42" s="31" t="s">
        <v>105</v>
      </c>
      <c r="G42" s="31" t="s">
        <v>37</v>
      </c>
      <c r="H42" s="30" t="s">
        <v>46</v>
      </c>
      <c r="I42" s="30" t="str">
        <f aca="false">IF(OR(E42="Ambas",Instruções!$C$5="",E42=Instruções!$C$5),"Sim","Não")</f>
        <v>Sim</v>
      </c>
      <c r="J42" s="32"/>
      <c r="K42" s="33"/>
      <c r="L42" s="33"/>
      <c r="M42" s="33"/>
      <c r="N42" s="34"/>
    </row>
    <row r="43" customFormat="false" ht="15" hidden="false" customHeight="false" outlineLevel="0" collapsed="false">
      <c r="A43" s="30" t="s">
        <v>210</v>
      </c>
      <c r="B43" s="31" t="s">
        <v>75</v>
      </c>
      <c r="C43" s="31" t="s">
        <v>203</v>
      </c>
      <c r="D43" s="31" t="s">
        <v>211</v>
      </c>
      <c r="E43" s="30" t="s">
        <v>104</v>
      </c>
      <c r="F43" s="31" t="s">
        <v>105</v>
      </c>
      <c r="G43" s="31" t="s">
        <v>37</v>
      </c>
      <c r="H43" s="30" t="s">
        <v>46</v>
      </c>
      <c r="I43" s="30" t="str">
        <f aca="false">IF(OR(E43="Ambas",Instruções!$C$5="",E43=Instruções!$C$5),"Sim","Não")</f>
        <v>Sim</v>
      </c>
      <c r="J43" s="32"/>
      <c r="K43" s="33"/>
      <c r="L43" s="33"/>
      <c r="M43" s="33"/>
      <c r="N43" s="34"/>
    </row>
    <row r="44" customFormat="false" ht="23.85" hidden="false" customHeight="false" outlineLevel="0" collapsed="false">
      <c r="A44" s="30" t="s">
        <v>212</v>
      </c>
      <c r="B44" s="31" t="s">
        <v>75</v>
      </c>
      <c r="C44" s="31" t="s">
        <v>203</v>
      </c>
      <c r="D44" s="31" t="s">
        <v>213</v>
      </c>
      <c r="E44" s="30" t="s">
        <v>104</v>
      </c>
      <c r="F44" s="31" t="s">
        <v>205</v>
      </c>
      <c r="G44" s="31" t="s">
        <v>37</v>
      </c>
      <c r="H44" s="30" t="s">
        <v>46</v>
      </c>
      <c r="I44" s="30" t="str">
        <f aca="false">IF(OR(E44="Ambas",Instruções!$C$5="",E44=Instruções!$C$5),"Sim","Não")</f>
        <v>Sim</v>
      </c>
      <c r="J44" s="32"/>
      <c r="K44" s="33"/>
      <c r="L44" s="33"/>
      <c r="M44" s="33"/>
      <c r="N44" s="34"/>
    </row>
    <row r="45" customFormat="false" ht="15" hidden="false" customHeight="false" outlineLevel="0" collapsed="false">
      <c r="A45" s="30" t="s">
        <v>214</v>
      </c>
      <c r="B45" s="31" t="s">
        <v>75</v>
      </c>
      <c r="C45" s="31" t="s">
        <v>203</v>
      </c>
      <c r="D45" s="31" t="s">
        <v>215</v>
      </c>
      <c r="E45" s="30" t="s">
        <v>104</v>
      </c>
      <c r="F45" s="31" t="s">
        <v>105</v>
      </c>
      <c r="G45" s="31" t="s">
        <v>37</v>
      </c>
      <c r="H45" s="30" t="s">
        <v>46</v>
      </c>
      <c r="I45" s="30" t="str">
        <f aca="false">IF(OR(E45="Ambas",Instruções!$C$5="",E45=Instruções!$C$5),"Sim","Não")</f>
        <v>Sim</v>
      </c>
      <c r="J45" s="32"/>
      <c r="K45" s="33"/>
      <c r="L45" s="33"/>
      <c r="M45" s="33"/>
      <c r="N45" s="34"/>
    </row>
    <row r="46" customFormat="false" ht="15" hidden="false" customHeight="false" outlineLevel="0" collapsed="false">
      <c r="A46" s="30" t="s">
        <v>216</v>
      </c>
      <c r="B46" s="31" t="s">
        <v>75</v>
      </c>
      <c r="C46" s="31" t="s">
        <v>217</v>
      </c>
      <c r="D46" s="31" t="s">
        <v>218</v>
      </c>
      <c r="E46" s="30" t="s">
        <v>114</v>
      </c>
      <c r="F46" s="31" t="s">
        <v>105</v>
      </c>
      <c r="G46" s="31" t="s">
        <v>37</v>
      </c>
      <c r="H46" s="30" t="s">
        <v>44</v>
      </c>
      <c r="I46" s="30" t="str">
        <f aca="false">IF(OR(E46="Ambas",Instruções!$C$5="",E46=Instruções!$C$5),"Sim","Não")</f>
        <v>Sim</v>
      </c>
      <c r="J46" s="32"/>
      <c r="K46" s="33"/>
      <c r="L46" s="33"/>
      <c r="M46" s="33"/>
      <c r="N46" s="34"/>
    </row>
    <row r="47" customFormat="false" ht="23.85" hidden="false" customHeight="false" outlineLevel="0" collapsed="false">
      <c r="A47" s="30" t="s">
        <v>219</v>
      </c>
      <c r="B47" s="31" t="s">
        <v>75</v>
      </c>
      <c r="C47" s="31" t="s">
        <v>41</v>
      </c>
      <c r="D47" s="31" t="s">
        <v>220</v>
      </c>
      <c r="E47" s="30" t="s">
        <v>104</v>
      </c>
      <c r="F47" s="31" t="s">
        <v>149</v>
      </c>
      <c r="G47" s="31" t="s">
        <v>41</v>
      </c>
      <c r="H47" s="30" t="s">
        <v>44</v>
      </c>
      <c r="I47" s="30" t="str">
        <f aca="false">IF(OR(E47="Ambas",Instruções!$C$5="",E47=Instruções!$C$5),"Sim","Não")</f>
        <v>Sim</v>
      </c>
      <c r="J47" s="32"/>
      <c r="K47" s="33"/>
      <c r="L47" s="33"/>
      <c r="M47" s="33"/>
      <c r="N47" s="34"/>
    </row>
    <row r="48" customFormat="false" ht="23.85" hidden="false" customHeight="false" outlineLevel="0" collapsed="false">
      <c r="A48" s="30" t="s">
        <v>221</v>
      </c>
      <c r="B48" s="31" t="s">
        <v>75</v>
      </c>
      <c r="C48" s="31" t="s">
        <v>41</v>
      </c>
      <c r="D48" s="31" t="s">
        <v>222</v>
      </c>
      <c r="E48" s="30" t="s">
        <v>104</v>
      </c>
      <c r="F48" s="31" t="s">
        <v>149</v>
      </c>
      <c r="G48" s="31" t="s">
        <v>41</v>
      </c>
      <c r="H48" s="30" t="s">
        <v>44</v>
      </c>
      <c r="I48" s="30" t="str">
        <f aca="false">IF(OR(E48="Ambas",Instruções!$C$5="",E48=Instruções!$C$5),"Sim","Não")</f>
        <v>Sim</v>
      </c>
      <c r="J48" s="32"/>
      <c r="K48" s="33"/>
      <c r="L48" s="33"/>
      <c r="M48" s="33"/>
      <c r="N48" s="34"/>
    </row>
    <row r="49" customFormat="false" ht="23.85" hidden="false" customHeight="false" outlineLevel="0" collapsed="false">
      <c r="A49" s="30" t="s">
        <v>223</v>
      </c>
      <c r="B49" s="31" t="s">
        <v>75</v>
      </c>
      <c r="C49" s="31" t="s">
        <v>41</v>
      </c>
      <c r="D49" s="31" t="s">
        <v>224</v>
      </c>
      <c r="E49" s="30" t="s">
        <v>104</v>
      </c>
      <c r="F49" s="31" t="s">
        <v>149</v>
      </c>
      <c r="G49" s="31" t="s">
        <v>41</v>
      </c>
      <c r="H49" s="30" t="s">
        <v>44</v>
      </c>
      <c r="I49" s="30" t="str">
        <f aca="false">IF(OR(E49="Ambas",Instruções!$C$5="",E49=Instruções!$C$5),"Sim","Não")</f>
        <v>Sim</v>
      </c>
      <c r="J49" s="32"/>
      <c r="K49" s="33"/>
      <c r="L49" s="33"/>
      <c r="M49" s="33"/>
      <c r="N49" s="34"/>
    </row>
    <row r="50" customFormat="false" ht="23.85" hidden="false" customHeight="false" outlineLevel="0" collapsed="false">
      <c r="A50" s="30" t="s">
        <v>225</v>
      </c>
      <c r="B50" s="31" t="s">
        <v>75</v>
      </c>
      <c r="C50" s="31" t="s">
        <v>41</v>
      </c>
      <c r="D50" s="31" t="s">
        <v>226</v>
      </c>
      <c r="E50" s="30" t="s">
        <v>104</v>
      </c>
      <c r="F50" s="31" t="s">
        <v>227</v>
      </c>
      <c r="G50" s="31" t="s">
        <v>41</v>
      </c>
      <c r="H50" s="30" t="s">
        <v>44</v>
      </c>
      <c r="I50" s="30" t="str">
        <f aca="false">IF(OR(E50="Ambas",Instruções!$C$5="",E50=Instruções!$C$5),"Sim","Não")</f>
        <v>Sim</v>
      </c>
      <c r="J50" s="32"/>
      <c r="K50" s="33"/>
      <c r="L50" s="33"/>
      <c r="M50" s="33"/>
      <c r="N50" s="34"/>
    </row>
    <row r="51" customFormat="false" ht="23.85" hidden="false" customHeight="false" outlineLevel="0" collapsed="false">
      <c r="A51" s="30" t="s">
        <v>228</v>
      </c>
      <c r="B51" s="31" t="s">
        <v>75</v>
      </c>
      <c r="C51" s="31" t="s">
        <v>41</v>
      </c>
      <c r="D51" s="31" t="s">
        <v>229</v>
      </c>
      <c r="E51" s="30" t="s">
        <v>104</v>
      </c>
      <c r="F51" s="31" t="s">
        <v>149</v>
      </c>
      <c r="G51" s="31" t="s">
        <v>41</v>
      </c>
      <c r="H51" s="30" t="s">
        <v>46</v>
      </c>
      <c r="I51" s="30" t="str">
        <f aca="false">IF(OR(E51="Ambas",Instruções!$C$5="",E51=Instruções!$C$5),"Sim","Não")</f>
        <v>Sim</v>
      </c>
      <c r="J51" s="32"/>
      <c r="K51" s="33"/>
      <c r="L51" s="33"/>
      <c r="M51" s="33"/>
      <c r="N51" s="34"/>
    </row>
    <row r="52" customFormat="false" ht="23.85" hidden="false" customHeight="false" outlineLevel="0" collapsed="false">
      <c r="A52" s="30" t="s">
        <v>230</v>
      </c>
      <c r="B52" s="31" t="s">
        <v>75</v>
      </c>
      <c r="C52" s="31" t="s">
        <v>41</v>
      </c>
      <c r="D52" s="31" t="s">
        <v>231</v>
      </c>
      <c r="E52" s="30" t="s">
        <v>104</v>
      </c>
      <c r="F52" s="31" t="s">
        <v>232</v>
      </c>
      <c r="G52" s="31" t="s">
        <v>41</v>
      </c>
      <c r="H52" s="30" t="s">
        <v>46</v>
      </c>
      <c r="I52" s="30" t="str">
        <f aca="false">IF(OR(E52="Ambas",Instruções!$C$5="",E52=Instruções!$C$5),"Sim","Não")</f>
        <v>Sim</v>
      </c>
      <c r="J52" s="32"/>
      <c r="K52" s="33"/>
      <c r="L52" s="33"/>
      <c r="M52" s="33"/>
      <c r="N52" s="34"/>
    </row>
    <row r="53" customFormat="false" ht="23.85" hidden="false" customHeight="false" outlineLevel="0" collapsed="false">
      <c r="A53" s="30" t="s">
        <v>233</v>
      </c>
      <c r="B53" s="31" t="s">
        <v>75</v>
      </c>
      <c r="C53" s="31" t="s">
        <v>234</v>
      </c>
      <c r="D53" s="31" t="s">
        <v>235</v>
      </c>
      <c r="E53" s="30" t="s">
        <v>104</v>
      </c>
      <c r="F53" s="31" t="s">
        <v>105</v>
      </c>
      <c r="G53" s="31" t="s">
        <v>37</v>
      </c>
      <c r="H53" s="30" t="s">
        <v>46</v>
      </c>
      <c r="I53" s="30" t="str">
        <f aca="false">IF(OR(E53="Ambas",Instruções!$C$5="",E53=Instruções!$C$5),"Sim","Não")</f>
        <v>Sim</v>
      </c>
      <c r="J53" s="32"/>
      <c r="K53" s="33"/>
      <c r="L53" s="33"/>
      <c r="M53" s="33"/>
      <c r="N53" s="34"/>
    </row>
    <row r="54" customFormat="false" ht="23.85" hidden="false" customHeight="false" outlineLevel="0" collapsed="false">
      <c r="A54" s="30" t="s">
        <v>236</v>
      </c>
      <c r="B54" s="31" t="s">
        <v>75</v>
      </c>
      <c r="C54" s="31" t="s">
        <v>237</v>
      </c>
      <c r="D54" s="31" t="s">
        <v>238</v>
      </c>
      <c r="E54" s="30" t="s">
        <v>141</v>
      </c>
      <c r="F54" s="31" t="s">
        <v>201</v>
      </c>
      <c r="G54" s="31" t="s">
        <v>37</v>
      </c>
      <c r="H54" s="30" t="s">
        <v>44</v>
      </c>
      <c r="I54" s="30" t="str">
        <f aca="false">IF(OR(E54="Ambas",Instruções!$C$5="",E54=Instruções!$C$5),"Sim","Não")</f>
        <v>Sim</v>
      </c>
      <c r="J54" s="32"/>
      <c r="K54" s="33"/>
      <c r="L54" s="33"/>
      <c r="M54" s="33"/>
      <c r="N54" s="34"/>
    </row>
    <row r="55" customFormat="false" ht="15" hidden="false" customHeight="false" outlineLevel="0" collapsed="false">
      <c r="A55" s="30" t="s">
        <v>239</v>
      </c>
      <c r="B55" s="31" t="s">
        <v>75</v>
      </c>
      <c r="C55" s="31" t="s">
        <v>240</v>
      </c>
      <c r="D55" s="31" t="s">
        <v>241</v>
      </c>
      <c r="E55" s="30" t="s">
        <v>104</v>
      </c>
      <c r="F55" s="31" t="s">
        <v>242</v>
      </c>
      <c r="G55" s="31" t="s">
        <v>39</v>
      </c>
      <c r="H55" s="30" t="s">
        <v>48</v>
      </c>
      <c r="I55" s="30" t="str">
        <f aca="false">IF(OR(E55="Ambas",Instruções!$C$5="",E55=Instruções!$C$5),"Sim","Não")</f>
        <v>Sim</v>
      </c>
      <c r="J55" s="32"/>
      <c r="K55" s="33"/>
      <c r="L55" s="33"/>
      <c r="M55" s="33"/>
      <c r="N55" s="34"/>
    </row>
    <row r="56" customFormat="false" ht="15" hidden="false" customHeight="false" outlineLevel="0" collapsed="false">
      <c r="A56" s="30" t="s">
        <v>243</v>
      </c>
      <c r="B56" s="31" t="s">
        <v>75</v>
      </c>
      <c r="C56" s="31" t="s">
        <v>244</v>
      </c>
      <c r="D56" s="31" t="s">
        <v>245</v>
      </c>
      <c r="E56" s="30" t="s">
        <v>104</v>
      </c>
      <c r="F56" s="31" t="s">
        <v>105</v>
      </c>
      <c r="G56" s="31" t="s">
        <v>37</v>
      </c>
      <c r="H56" s="30" t="s">
        <v>48</v>
      </c>
      <c r="I56" s="30" t="str">
        <f aca="false">IF(OR(E56="Ambas",Instruções!$C$5="",E56=Instruções!$C$5),"Sim","Não")</f>
        <v>Sim</v>
      </c>
      <c r="J56" s="32"/>
      <c r="K56" s="33"/>
      <c r="L56" s="33"/>
      <c r="M56" s="33"/>
      <c r="N56" s="34"/>
    </row>
    <row r="57" customFormat="false" ht="23.85" hidden="false" customHeight="false" outlineLevel="0" collapsed="false">
      <c r="A57" s="30" t="s">
        <v>246</v>
      </c>
      <c r="B57" s="31" t="s">
        <v>76</v>
      </c>
      <c r="C57" s="31" t="s">
        <v>247</v>
      </c>
      <c r="D57" s="31" t="s">
        <v>248</v>
      </c>
      <c r="E57" s="30" t="s">
        <v>104</v>
      </c>
      <c r="F57" s="31" t="s">
        <v>105</v>
      </c>
      <c r="G57" s="31" t="s">
        <v>37</v>
      </c>
      <c r="H57" s="30" t="s">
        <v>44</v>
      </c>
      <c r="I57" s="30" t="str">
        <f aca="false">IF(OR(E57="Ambas",Instruções!$C$5="",E57=Instruções!$C$5),"Sim","Não")</f>
        <v>Sim</v>
      </c>
      <c r="J57" s="32"/>
      <c r="K57" s="33"/>
      <c r="L57" s="33"/>
      <c r="M57" s="33"/>
      <c r="N57" s="34"/>
    </row>
    <row r="58" customFormat="false" ht="15" hidden="false" customHeight="false" outlineLevel="0" collapsed="false">
      <c r="A58" s="30" t="s">
        <v>249</v>
      </c>
      <c r="B58" s="31" t="s">
        <v>76</v>
      </c>
      <c r="C58" s="31" t="s">
        <v>247</v>
      </c>
      <c r="D58" s="31" t="s">
        <v>250</v>
      </c>
      <c r="E58" s="30" t="s">
        <v>104</v>
      </c>
      <c r="F58" s="31" t="s">
        <v>251</v>
      </c>
      <c r="G58" s="31" t="s">
        <v>41</v>
      </c>
      <c r="H58" s="30" t="s">
        <v>44</v>
      </c>
      <c r="I58" s="30" t="str">
        <f aca="false">IF(OR(E58="Ambas",Instruções!$C$5="",E58=Instruções!$C$5),"Sim","Não")</f>
        <v>Sim</v>
      </c>
      <c r="J58" s="32"/>
      <c r="K58" s="33"/>
      <c r="L58" s="33"/>
      <c r="M58" s="33"/>
      <c r="N58" s="34"/>
    </row>
    <row r="59" customFormat="false" ht="23.85" hidden="false" customHeight="false" outlineLevel="0" collapsed="false">
      <c r="A59" s="30" t="s">
        <v>252</v>
      </c>
      <c r="B59" s="31" t="s">
        <v>76</v>
      </c>
      <c r="C59" s="31" t="s">
        <v>247</v>
      </c>
      <c r="D59" s="31" t="s">
        <v>253</v>
      </c>
      <c r="E59" s="30" t="s">
        <v>104</v>
      </c>
      <c r="F59" s="31" t="s">
        <v>105</v>
      </c>
      <c r="G59" s="31" t="s">
        <v>37</v>
      </c>
      <c r="H59" s="30" t="s">
        <v>46</v>
      </c>
      <c r="I59" s="30" t="str">
        <f aca="false">IF(OR(E59="Ambas",Instruções!$C$5="",E59=Instruções!$C$5),"Sim","Não")</f>
        <v>Sim</v>
      </c>
      <c r="J59" s="32"/>
      <c r="K59" s="33"/>
      <c r="L59" s="33"/>
      <c r="M59" s="33"/>
      <c r="N59" s="34"/>
    </row>
    <row r="60" customFormat="false" ht="23.85" hidden="false" customHeight="false" outlineLevel="0" collapsed="false">
      <c r="A60" s="30" t="s">
        <v>254</v>
      </c>
      <c r="B60" s="31" t="s">
        <v>76</v>
      </c>
      <c r="C60" s="31" t="s">
        <v>247</v>
      </c>
      <c r="D60" s="31" t="s">
        <v>255</v>
      </c>
      <c r="E60" s="30" t="s">
        <v>104</v>
      </c>
      <c r="F60" s="31" t="s">
        <v>105</v>
      </c>
      <c r="G60" s="31" t="s">
        <v>37</v>
      </c>
      <c r="H60" s="30" t="s">
        <v>48</v>
      </c>
      <c r="I60" s="30" t="str">
        <f aca="false">IF(OR(E60="Ambas",Instruções!$C$5="",E60=Instruções!$C$5),"Sim","Não")</f>
        <v>Sim</v>
      </c>
      <c r="J60" s="32"/>
      <c r="K60" s="33"/>
      <c r="L60" s="33"/>
      <c r="M60" s="33"/>
      <c r="N60" s="34"/>
    </row>
    <row r="61" customFormat="false" ht="23.85" hidden="false" customHeight="false" outlineLevel="0" collapsed="false">
      <c r="A61" s="30" t="s">
        <v>256</v>
      </c>
      <c r="B61" s="31" t="s">
        <v>76</v>
      </c>
      <c r="C61" s="31" t="s">
        <v>257</v>
      </c>
      <c r="D61" s="31" t="s">
        <v>258</v>
      </c>
      <c r="E61" s="30" t="s">
        <v>104</v>
      </c>
      <c r="F61" s="31" t="s">
        <v>105</v>
      </c>
      <c r="G61" s="31" t="s">
        <v>37</v>
      </c>
      <c r="H61" s="30" t="s">
        <v>44</v>
      </c>
      <c r="I61" s="30" t="str">
        <f aca="false">IF(OR(E61="Ambas",Instruções!$C$5="",E61=Instruções!$C$5),"Sim","Não")</f>
        <v>Sim</v>
      </c>
      <c r="J61" s="32"/>
      <c r="K61" s="33"/>
      <c r="L61" s="33"/>
      <c r="M61" s="33"/>
      <c r="N61" s="34"/>
    </row>
    <row r="62" customFormat="false" ht="15" hidden="false" customHeight="false" outlineLevel="0" collapsed="false">
      <c r="A62" s="30" t="s">
        <v>259</v>
      </c>
      <c r="B62" s="31" t="s">
        <v>76</v>
      </c>
      <c r="C62" s="31" t="s">
        <v>257</v>
      </c>
      <c r="D62" s="31" t="s">
        <v>260</v>
      </c>
      <c r="E62" s="30" t="s">
        <v>104</v>
      </c>
      <c r="F62" s="31" t="s">
        <v>105</v>
      </c>
      <c r="G62" s="31" t="s">
        <v>37</v>
      </c>
      <c r="H62" s="30" t="s">
        <v>46</v>
      </c>
      <c r="I62" s="30" t="str">
        <f aca="false">IF(OR(E62="Ambas",Instruções!$C$5="",E62=Instruções!$C$5),"Sim","Não")</f>
        <v>Sim</v>
      </c>
      <c r="J62" s="32"/>
      <c r="K62" s="33"/>
      <c r="L62" s="33"/>
      <c r="M62" s="33"/>
      <c r="N62" s="34"/>
    </row>
    <row r="63" customFormat="false" ht="23.85" hidden="false" customHeight="false" outlineLevel="0" collapsed="false">
      <c r="A63" s="30" t="s">
        <v>261</v>
      </c>
      <c r="B63" s="31" t="s">
        <v>76</v>
      </c>
      <c r="C63" s="31" t="s">
        <v>257</v>
      </c>
      <c r="D63" s="31" t="s">
        <v>262</v>
      </c>
      <c r="E63" s="30" t="s">
        <v>104</v>
      </c>
      <c r="F63" s="31" t="s">
        <v>105</v>
      </c>
      <c r="G63" s="31" t="s">
        <v>37</v>
      </c>
      <c r="H63" s="30" t="s">
        <v>44</v>
      </c>
      <c r="I63" s="30" t="str">
        <f aca="false">IF(OR(E63="Ambas",Instruções!$C$5="",E63=Instruções!$C$5),"Sim","Não")</f>
        <v>Sim</v>
      </c>
      <c r="J63" s="32"/>
      <c r="K63" s="33"/>
      <c r="L63" s="33"/>
      <c r="M63" s="33"/>
      <c r="N63" s="34"/>
    </row>
    <row r="64" customFormat="false" ht="15" hidden="false" customHeight="false" outlineLevel="0" collapsed="false">
      <c r="A64" s="30" t="s">
        <v>263</v>
      </c>
      <c r="B64" s="31" t="s">
        <v>76</v>
      </c>
      <c r="C64" s="31" t="s">
        <v>257</v>
      </c>
      <c r="D64" s="31" t="s">
        <v>264</v>
      </c>
      <c r="E64" s="30" t="s">
        <v>104</v>
      </c>
      <c r="F64" s="31" t="s">
        <v>105</v>
      </c>
      <c r="G64" s="31" t="s">
        <v>37</v>
      </c>
      <c r="H64" s="30" t="s">
        <v>46</v>
      </c>
      <c r="I64" s="30" t="str">
        <f aca="false">IF(OR(E64="Ambas",Instruções!$C$5="",E64=Instruções!$C$5),"Sim","Não")</f>
        <v>Sim</v>
      </c>
      <c r="J64" s="32"/>
      <c r="K64" s="33"/>
      <c r="L64" s="33"/>
      <c r="M64" s="33"/>
      <c r="N64" s="34"/>
    </row>
    <row r="65" customFormat="false" ht="15" hidden="false" customHeight="false" outlineLevel="0" collapsed="false">
      <c r="A65" s="30" t="s">
        <v>265</v>
      </c>
      <c r="B65" s="31" t="s">
        <v>76</v>
      </c>
      <c r="C65" s="31" t="s">
        <v>257</v>
      </c>
      <c r="D65" s="31" t="s">
        <v>266</v>
      </c>
      <c r="E65" s="30" t="s">
        <v>104</v>
      </c>
      <c r="F65" s="31" t="s">
        <v>105</v>
      </c>
      <c r="G65" s="31" t="s">
        <v>37</v>
      </c>
      <c r="H65" s="30" t="s">
        <v>48</v>
      </c>
      <c r="I65" s="30" t="str">
        <f aca="false">IF(OR(E65="Ambas",Instruções!$C$5="",E65=Instruções!$C$5),"Sim","Não")</f>
        <v>Sim</v>
      </c>
      <c r="J65" s="32"/>
      <c r="K65" s="33"/>
      <c r="L65" s="33"/>
      <c r="M65" s="33"/>
      <c r="N65" s="34"/>
    </row>
    <row r="66" customFormat="false" ht="23.85" hidden="false" customHeight="false" outlineLevel="0" collapsed="false">
      <c r="A66" s="30" t="s">
        <v>267</v>
      </c>
      <c r="B66" s="31" t="s">
        <v>76</v>
      </c>
      <c r="C66" s="31" t="s">
        <v>257</v>
      </c>
      <c r="D66" s="31" t="s">
        <v>268</v>
      </c>
      <c r="E66" s="30" t="s">
        <v>104</v>
      </c>
      <c r="F66" s="31" t="s">
        <v>105</v>
      </c>
      <c r="G66" s="31" t="s">
        <v>37</v>
      </c>
      <c r="H66" s="30" t="s">
        <v>46</v>
      </c>
      <c r="I66" s="30" t="str">
        <f aca="false">IF(OR(E66="Ambas",Instruções!$C$5="",E66=Instruções!$C$5),"Sim","Não")</f>
        <v>Sim</v>
      </c>
      <c r="J66" s="32"/>
      <c r="K66" s="33"/>
      <c r="L66" s="33"/>
      <c r="M66" s="33"/>
      <c r="N66" s="34"/>
    </row>
    <row r="67" customFormat="false" ht="15" hidden="false" customHeight="false" outlineLevel="0" collapsed="false">
      <c r="A67" s="30" t="s">
        <v>269</v>
      </c>
      <c r="B67" s="31" t="s">
        <v>76</v>
      </c>
      <c r="C67" s="31" t="s">
        <v>257</v>
      </c>
      <c r="D67" s="31" t="s">
        <v>270</v>
      </c>
      <c r="E67" s="30" t="s">
        <v>104</v>
      </c>
      <c r="F67" s="31" t="s">
        <v>271</v>
      </c>
      <c r="G67" s="31" t="s">
        <v>41</v>
      </c>
      <c r="H67" s="30" t="s">
        <v>44</v>
      </c>
      <c r="I67" s="30" t="str">
        <f aca="false">IF(OR(E67="Ambas",Instruções!$C$5="",E67=Instruções!$C$5),"Sim","Não")</f>
        <v>Sim</v>
      </c>
      <c r="J67" s="32"/>
      <c r="K67" s="33"/>
      <c r="L67" s="33"/>
      <c r="M67" s="33"/>
      <c r="N67" s="34"/>
    </row>
    <row r="68" customFormat="false" ht="23.85" hidden="false" customHeight="false" outlineLevel="0" collapsed="false">
      <c r="A68" s="30" t="s">
        <v>272</v>
      </c>
      <c r="B68" s="31" t="s">
        <v>76</v>
      </c>
      <c r="C68" s="31" t="s">
        <v>273</v>
      </c>
      <c r="D68" s="31" t="s">
        <v>274</v>
      </c>
      <c r="E68" s="30" t="s">
        <v>104</v>
      </c>
      <c r="F68" s="31" t="s">
        <v>105</v>
      </c>
      <c r="G68" s="31" t="s">
        <v>37</v>
      </c>
      <c r="H68" s="30" t="s">
        <v>44</v>
      </c>
      <c r="I68" s="30" t="str">
        <f aca="false">IF(OR(E68="Ambas",Instruções!$C$5="",E68=Instruções!$C$5),"Sim","Não")</f>
        <v>Sim</v>
      </c>
      <c r="J68" s="32"/>
      <c r="K68" s="33"/>
      <c r="L68" s="33"/>
      <c r="M68" s="33"/>
      <c r="N68" s="34"/>
    </row>
    <row r="69" customFormat="false" ht="15" hidden="false" customHeight="false" outlineLevel="0" collapsed="false">
      <c r="A69" s="30" t="s">
        <v>53</v>
      </c>
      <c r="B69" s="31" t="s">
        <v>76</v>
      </c>
      <c r="C69" s="31" t="s">
        <v>273</v>
      </c>
      <c r="D69" s="31" t="s">
        <v>55</v>
      </c>
      <c r="E69" s="30" t="s">
        <v>104</v>
      </c>
      <c r="F69" s="31" t="s">
        <v>105</v>
      </c>
      <c r="G69" s="31" t="s">
        <v>37</v>
      </c>
      <c r="H69" s="30" t="s">
        <v>44</v>
      </c>
      <c r="I69" s="30" t="str">
        <f aca="false">IF(OR(E69="Ambas",Instruções!$C$5="",E69=Instruções!$C$5),"Sim","Não")</f>
        <v>Sim</v>
      </c>
      <c r="J69" s="32"/>
      <c r="K69" s="33"/>
      <c r="L69" s="33"/>
      <c r="M69" s="33"/>
      <c r="N69" s="34"/>
    </row>
    <row r="70" customFormat="false" ht="15" hidden="false" customHeight="false" outlineLevel="0" collapsed="false">
      <c r="A70" s="30" t="s">
        <v>275</v>
      </c>
      <c r="B70" s="31" t="s">
        <v>76</v>
      </c>
      <c r="C70" s="31" t="s">
        <v>273</v>
      </c>
      <c r="D70" s="31" t="s">
        <v>276</v>
      </c>
      <c r="E70" s="30" t="s">
        <v>114</v>
      </c>
      <c r="F70" s="31" t="s">
        <v>105</v>
      </c>
      <c r="G70" s="31" t="s">
        <v>37</v>
      </c>
      <c r="H70" s="30" t="s">
        <v>44</v>
      </c>
      <c r="I70" s="30" t="str">
        <f aca="false">IF(OR(E70="Ambas",Instruções!$C$5="",E70=Instruções!$C$5),"Sim","Não")</f>
        <v>Sim</v>
      </c>
      <c r="J70" s="32"/>
      <c r="K70" s="33"/>
      <c r="L70" s="33"/>
      <c r="M70" s="33"/>
      <c r="N70" s="34"/>
    </row>
    <row r="71" customFormat="false" ht="15" hidden="false" customHeight="false" outlineLevel="0" collapsed="false">
      <c r="A71" s="30" t="s">
        <v>277</v>
      </c>
      <c r="B71" s="31" t="s">
        <v>76</v>
      </c>
      <c r="C71" s="31" t="s">
        <v>273</v>
      </c>
      <c r="D71" s="31" t="s">
        <v>278</v>
      </c>
      <c r="E71" s="30" t="s">
        <v>104</v>
      </c>
      <c r="F71" s="31" t="s">
        <v>105</v>
      </c>
      <c r="G71" s="31" t="s">
        <v>37</v>
      </c>
      <c r="H71" s="30" t="s">
        <v>44</v>
      </c>
      <c r="I71" s="30" t="str">
        <f aca="false">IF(OR(E71="Ambas",Instruções!$C$5="",E71=Instruções!$C$5),"Sim","Não")</f>
        <v>Sim</v>
      </c>
      <c r="J71" s="32"/>
      <c r="K71" s="33"/>
      <c r="L71" s="33"/>
      <c r="M71" s="33"/>
      <c r="N71" s="34"/>
    </row>
    <row r="72" customFormat="false" ht="15" hidden="false" customHeight="false" outlineLevel="0" collapsed="false">
      <c r="A72" s="30" t="s">
        <v>279</v>
      </c>
      <c r="B72" s="31" t="s">
        <v>76</v>
      </c>
      <c r="C72" s="31" t="s">
        <v>273</v>
      </c>
      <c r="D72" s="31" t="s">
        <v>280</v>
      </c>
      <c r="E72" s="30" t="s">
        <v>104</v>
      </c>
      <c r="F72" s="31" t="s">
        <v>105</v>
      </c>
      <c r="G72" s="31" t="s">
        <v>37</v>
      </c>
      <c r="H72" s="30" t="s">
        <v>46</v>
      </c>
      <c r="I72" s="30" t="str">
        <f aca="false">IF(OR(E72="Ambas",Instruções!$C$5="",E72=Instruções!$C$5),"Sim","Não")</f>
        <v>Sim</v>
      </c>
      <c r="J72" s="32"/>
      <c r="K72" s="33"/>
      <c r="L72" s="33"/>
      <c r="M72" s="33"/>
      <c r="N72" s="34"/>
    </row>
    <row r="73" customFormat="false" ht="23.85" hidden="false" customHeight="false" outlineLevel="0" collapsed="false">
      <c r="A73" s="30" t="s">
        <v>281</v>
      </c>
      <c r="B73" s="31" t="s">
        <v>76</v>
      </c>
      <c r="C73" s="31" t="s">
        <v>282</v>
      </c>
      <c r="D73" s="31" t="s">
        <v>283</v>
      </c>
      <c r="E73" s="30" t="s">
        <v>104</v>
      </c>
      <c r="F73" s="31" t="s">
        <v>105</v>
      </c>
      <c r="G73" s="31" t="s">
        <v>37</v>
      </c>
      <c r="H73" s="30" t="s">
        <v>44</v>
      </c>
      <c r="I73" s="30" t="str">
        <f aca="false">IF(OR(E73="Ambas",Instruções!$C$5="",E73=Instruções!$C$5),"Sim","Não")</f>
        <v>Sim</v>
      </c>
      <c r="J73" s="32"/>
      <c r="K73" s="33"/>
      <c r="L73" s="33"/>
      <c r="M73" s="33"/>
      <c r="N73" s="34"/>
    </row>
    <row r="74" customFormat="false" ht="15" hidden="false" customHeight="false" outlineLevel="0" collapsed="false">
      <c r="A74" s="30" t="s">
        <v>284</v>
      </c>
      <c r="B74" s="31" t="s">
        <v>76</v>
      </c>
      <c r="C74" s="31" t="s">
        <v>282</v>
      </c>
      <c r="D74" s="31" t="s">
        <v>285</v>
      </c>
      <c r="E74" s="30" t="s">
        <v>104</v>
      </c>
      <c r="F74" s="31" t="s">
        <v>286</v>
      </c>
      <c r="G74" s="31" t="s">
        <v>37</v>
      </c>
      <c r="H74" s="30" t="s">
        <v>44</v>
      </c>
      <c r="I74" s="30" t="str">
        <f aca="false">IF(OR(E74="Ambas",Instruções!$C$5="",E74=Instruções!$C$5),"Sim","Não")</f>
        <v>Sim</v>
      </c>
      <c r="J74" s="32"/>
      <c r="K74" s="33"/>
      <c r="L74" s="33"/>
      <c r="M74" s="33"/>
      <c r="N74" s="34"/>
    </row>
    <row r="75" customFormat="false" ht="15" hidden="false" customHeight="false" outlineLevel="0" collapsed="false">
      <c r="A75" s="30" t="s">
        <v>287</v>
      </c>
      <c r="B75" s="31" t="s">
        <v>76</v>
      </c>
      <c r="C75" s="31" t="s">
        <v>282</v>
      </c>
      <c r="D75" s="31" t="s">
        <v>288</v>
      </c>
      <c r="E75" s="30" t="s">
        <v>104</v>
      </c>
      <c r="F75" s="31" t="s">
        <v>251</v>
      </c>
      <c r="G75" s="31" t="s">
        <v>41</v>
      </c>
      <c r="H75" s="30" t="s">
        <v>44</v>
      </c>
      <c r="I75" s="30" t="str">
        <f aca="false">IF(OR(E75="Ambas",Instruções!$C$5="",E75=Instruções!$C$5),"Sim","Não")</f>
        <v>Sim</v>
      </c>
      <c r="J75" s="32"/>
      <c r="K75" s="33"/>
      <c r="L75" s="33"/>
      <c r="M75" s="33"/>
      <c r="N75" s="34"/>
    </row>
    <row r="76" customFormat="false" ht="15" hidden="false" customHeight="false" outlineLevel="0" collapsed="false">
      <c r="A76" s="30" t="s">
        <v>289</v>
      </c>
      <c r="B76" s="31" t="s">
        <v>76</v>
      </c>
      <c r="C76" s="31" t="s">
        <v>282</v>
      </c>
      <c r="D76" s="31" t="s">
        <v>290</v>
      </c>
      <c r="E76" s="30" t="s">
        <v>104</v>
      </c>
      <c r="F76" s="31" t="s">
        <v>105</v>
      </c>
      <c r="G76" s="31" t="s">
        <v>37</v>
      </c>
      <c r="H76" s="30" t="s">
        <v>46</v>
      </c>
      <c r="I76" s="30" t="str">
        <f aca="false">IF(OR(E76="Ambas",Instruções!$C$5="",E76=Instruções!$C$5),"Sim","Não")</f>
        <v>Sim</v>
      </c>
      <c r="J76" s="32"/>
      <c r="K76" s="33"/>
      <c r="L76" s="33"/>
      <c r="M76" s="33"/>
      <c r="N76" s="34"/>
    </row>
    <row r="77" customFormat="false" ht="15" hidden="false" customHeight="false" outlineLevel="0" collapsed="false">
      <c r="A77" s="30" t="s">
        <v>291</v>
      </c>
      <c r="B77" s="31" t="s">
        <v>76</v>
      </c>
      <c r="C77" s="31" t="s">
        <v>282</v>
      </c>
      <c r="D77" s="31" t="s">
        <v>292</v>
      </c>
      <c r="E77" s="30" t="s">
        <v>104</v>
      </c>
      <c r="F77" s="31" t="s">
        <v>105</v>
      </c>
      <c r="G77" s="31" t="s">
        <v>37</v>
      </c>
      <c r="H77" s="30" t="s">
        <v>46</v>
      </c>
      <c r="I77" s="30" t="str">
        <f aca="false">IF(OR(E77="Ambas",Instruções!$C$5="",E77=Instruções!$C$5),"Sim","Não")</f>
        <v>Sim</v>
      </c>
      <c r="J77" s="32"/>
      <c r="K77" s="33"/>
      <c r="L77" s="33"/>
      <c r="M77" s="33"/>
      <c r="N77" s="34"/>
    </row>
    <row r="78" customFormat="false" ht="23.85" hidden="false" customHeight="false" outlineLevel="0" collapsed="false">
      <c r="A78" s="30" t="s">
        <v>293</v>
      </c>
      <c r="B78" s="31" t="s">
        <v>76</v>
      </c>
      <c r="C78" s="31" t="s">
        <v>282</v>
      </c>
      <c r="D78" s="31" t="s">
        <v>294</v>
      </c>
      <c r="E78" s="30" t="s">
        <v>104</v>
      </c>
      <c r="F78" s="31" t="s">
        <v>295</v>
      </c>
      <c r="G78" s="31" t="s">
        <v>41</v>
      </c>
      <c r="H78" s="30" t="s">
        <v>44</v>
      </c>
      <c r="I78" s="30" t="str">
        <f aca="false">IF(OR(E78="Ambas",Instruções!$C$5="",E78=Instruções!$C$5),"Sim","Não")</f>
        <v>Sim</v>
      </c>
      <c r="J78" s="32"/>
      <c r="K78" s="33"/>
      <c r="L78" s="33"/>
      <c r="M78" s="33"/>
      <c r="N78" s="34"/>
    </row>
    <row r="79" customFormat="false" ht="23.85" hidden="false" customHeight="false" outlineLevel="0" collapsed="false">
      <c r="A79" s="30" t="s">
        <v>296</v>
      </c>
      <c r="B79" s="31" t="s">
        <v>76</v>
      </c>
      <c r="C79" s="31" t="s">
        <v>297</v>
      </c>
      <c r="D79" s="31" t="s">
        <v>298</v>
      </c>
      <c r="E79" s="30" t="s">
        <v>104</v>
      </c>
      <c r="F79" s="31" t="s">
        <v>105</v>
      </c>
      <c r="G79" s="31" t="s">
        <v>37</v>
      </c>
      <c r="H79" s="30" t="s">
        <v>44</v>
      </c>
      <c r="I79" s="30" t="str">
        <f aca="false">IF(OR(E79="Ambas",Instruções!$C$5="",E79=Instruções!$C$5),"Sim","Não")</f>
        <v>Sim</v>
      </c>
      <c r="J79" s="32"/>
      <c r="K79" s="33"/>
      <c r="L79" s="33"/>
      <c r="M79" s="33"/>
      <c r="N79" s="34"/>
    </row>
    <row r="80" customFormat="false" ht="15" hidden="false" customHeight="false" outlineLevel="0" collapsed="false">
      <c r="A80" s="30" t="s">
        <v>299</v>
      </c>
      <c r="B80" s="31" t="s">
        <v>76</v>
      </c>
      <c r="C80" s="31" t="s">
        <v>297</v>
      </c>
      <c r="D80" s="31" t="s">
        <v>300</v>
      </c>
      <c r="E80" s="30" t="s">
        <v>104</v>
      </c>
      <c r="F80" s="31" t="s">
        <v>105</v>
      </c>
      <c r="G80" s="31" t="s">
        <v>37</v>
      </c>
      <c r="H80" s="30" t="s">
        <v>46</v>
      </c>
      <c r="I80" s="30" t="str">
        <f aca="false">IF(OR(E80="Ambas",Instruções!$C$5="",E80=Instruções!$C$5),"Sim","Não")</f>
        <v>Sim</v>
      </c>
      <c r="J80" s="32"/>
      <c r="K80" s="33"/>
      <c r="L80" s="33"/>
      <c r="M80" s="33"/>
      <c r="N80" s="34"/>
    </row>
    <row r="81" customFormat="false" ht="15" hidden="false" customHeight="false" outlineLevel="0" collapsed="false">
      <c r="A81" s="30" t="s">
        <v>301</v>
      </c>
      <c r="B81" s="31" t="s">
        <v>76</v>
      </c>
      <c r="C81" s="31" t="s">
        <v>297</v>
      </c>
      <c r="D81" s="31" t="s">
        <v>302</v>
      </c>
      <c r="E81" s="30" t="s">
        <v>104</v>
      </c>
      <c r="F81" s="31" t="s">
        <v>105</v>
      </c>
      <c r="G81" s="31" t="s">
        <v>37</v>
      </c>
      <c r="H81" s="30" t="s">
        <v>46</v>
      </c>
      <c r="I81" s="30" t="str">
        <f aca="false">IF(OR(E81="Ambas",Instruções!$C$5="",E81=Instruções!$C$5),"Sim","Não")</f>
        <v>Sim</v>
      </c>
      <c r="J81" s="32"/>
      <c r="K81" s="33"/>
      <c r="L81" s="33"/>
      <c r="M81" s="33"/>
      <c r="N81" s="34"/>
    </row>
    <row r="82" customFormat="false" ht="23.85" hidden="false" customHeight="false" outlineLevel="0" collapsed="false">
      <c r="A82" s="30" t="s">
        <v>303</v>
      </c>
      <c r="B82" s="31" t="s">
        <v>76</v>
      </c>
      <c r="C82" s="31" t="s">
        <v>304</v>
      </c>
      <c r="D82" s="31" t="s">
        <v>305</v>
      </c>
      <c r="E82" s="30" t="s">
        <v>104</v>
      </c>
      <c r="F82" s="31" t="s">
        <v>76</v>
      </c>
      <c r="G82" s="31" t="s">
        <v>41</v>
      </c>
      <c r="H82" s="30" t="s">
        <v>44</v>
      </c>
      <c r="I82" s="30" t="str">
        <f aca="false">IF(OR(E82="Ambas",Instruções!$C$5="",E82=Instruções!$C$5),"Sim","Não")</f>
        <v>Sim</v>
      </c>
      <c r="J82" s="32"/>
      <c r="K82" s="33"/>
      <c r="L82" s="33"/>
      <c r="M82" s="33"/>
      <c r="N82" s="34"/>
    </row>
    <row r="83" customFormat="false" ht="23.85" hidden="false" customHeight="false" outlineLevel="0" collapsed="false">
      <c r="A83" s="30" t="s">
        <v>306</v>
      </c>
      <c r="B83" s="31" t="s">
        <v>76</v>
      </c>
      <c r="C83" s="31" t="s">
        <v>304</v>
      </c>
      <c r="D83" s="31" t="s">
        <v>307</v>
      </c>
      <c r="E83" s="30" t="s">
        <v>104</v>
      </c>
      <c r="F83" s="31" t="s">
        <v>308</v>
      </c>
      <c r="G83" s="31" t="s">
        <v>41</v>
      </c>
      <c r="H83" s="30" t="s">
        <v>44</v>
      </c>
      <c r="I83" s="30" t="str">
        <f aca="false">IF(OR(E83="Ambas",Instruções!$C$5="",E83=Instruções!$C$5),"Sim","Não")</f>
        <v>Sim</v>
      </c>
      <c r="J83" s="32"/>
      <c r="K83" s="33"/>
      <c r="L83" s="33"/>
      <c r="M83" s="33"/>
      <c r="N83" s="34"/>
    </row>
    <row r="84" customFormat="false" ht="23.85" hidden="false" customHeight="false" outlineLevel="0" collapsed="false">
      <c r="A84" s="30" t="s">
        <v>309</v>
      </c>
      <c r="B84" s="31" t="s">
        <v>76</v>
      </c>
      <c r="C84" s="31" t="s">
        <v>304</v>
      </c>
      <c r="D84" s="31" t="s">
        <v>310</v>
      </c>
      <c r="E84" s="30" t="s">
        <v>104</v>
      </c>
      <c r="F84" s="31" t="s">
        <v>311</v>
      </c>
      <c r="G84" s="31" t="s">
        <v>41</v>
      </c>
      <c r="H84" s="30" t="s">
        <v>46</v>
      </c>
      <c r="I84" s="30" t="str">
        <f aca="false">IF(OR(E84="Ambas",Instruções!$C$5="",E84=Instruções!$C$5),"Sim","Não")</f>
        <v>Sim</v>
      </c>
      <c r="J84" s="32"/>
      <c r="K84" s="33"/>
      <c r="L84" s="33"/>
      <c r="M84" s="33"/>
      <c r="N84" s="34"/>
    </row>
    <row r="85" customFormat="false" ht="15" hidden="false" customHeight="false" outlineLevel="0" collapsed="false">
      <c r="A85" s="30" t="s">
        <v>312</v>
      </c>
      <c r="B85" s="31" t="s">
        <v>76</v>
      </c>
      <c r="C85" s="31" t="s">
        <v>304</v>
      </c>
      <c r="D85" s="31" t="s">
        <v>313</v>
      </c>
      <c r="E85" s="30" t="s">
        <v>104</v>
      </c>
      <c r="F85" s="31" t="s">
        <v>105</v>
      </c>
      <c r="G85" s="31" t="s">
        <v>37</v>
      </c>
      <c r="H85" s="30" t="s">
        <v>46</v>
      </c>
      <c r="I85" s="30" t="str">
        <f aca="false">IF(OR(E85="Ambas",Instruções!$C$5="",E85=Instruções!$C$5),"Sim","Não")</f>
        <v>Sim</v>
      </c>
      <c r="J85" s="32"/>
      <c r="K85" s="33"/>
      <c r="L85" s="33"/>
      <c r="M85" s="33"/>
      <c r="N85" s="34"/>
    </row>
    <row r="86" customFormat="false" ht="23.85" hidden="false" customHeight="false" outlineLevel="0" collapsed="false">
      <c r="A86" s="30" t="s">
        <v>314</v>
      </c>
      <c r="B86" s="31" t="s">
        <v>76</v>
      </c>
      <c r="C86" s="31" t="s">
        <v>304</v>
      </c>
      <c r="D86" s="31" t="s">
        <v>315</v>
      </c>
      <c r="E86" s="30" t="s">
        <v>104</v>
      </c>
      <c r="F86" s="31" t="s">
        <v>105</v>
      </c>
      <c r="G86" s="31" t="s">
        <v>37</v>
      </c>
      <c r="H86" s="30" t="s">
        <v>46</v>
      </c>
      <c r="I86" s="30" t="str">
        <f aca="false">IF(OR(E86="Ambas",Instruções!$C$5="",E86=Instruções!$C$5),"Sim","Não")</f>
        <v>Sim</v>
      </c>
      <c r="J86" s="32"/>
      <c r="K86" s="33"/>
      <c r="L86" s="33"/>
      <c r="M86" s="33"/>
      <c r="N86" s="34"/>
    </row>
    <row r="87" customFormat="false" ht="15" hidden="false" customHeight="false" outlineLevel="0" collapsed="false">
      <c r="A87" s="30" t="s">
        <v>316</v>
      </c>
      <c r="B87" s="31" t="s">
        <v>76</v>
      </c>
      <c r="C87" s="31" t="s">
        <v>304</v>
      </c>
      <c r="D87" s="31" t="s">
        <v>317</v>
      </c>
      <c r="E87" s="30" t="s">
        <v>104</v>
      </c>
      <c r="F87" s="31" t="s">
        <v>295</v>
      </c>
      <c r="G87" s="31" t="s">
        <v>41</v>
      </c>
      <c r="H87" s="30" t="s">
        <v>46</v>
      </c>
      <c r="I87" s="30" t="str">
        <f aca="false">IF(OR(E87="Ambas",Instruções!$C$5="",E87=Instruções!$C$5),"Sim","Não")</f>
        <v>Sim</v>
      </c>
      <c r="J87" s="32"/>
      <c r="K87" s="33"/>
      <c r="L87" s="33"/>
      <c r="M87" s="33"/>
      <c r="N87" s="34"/>
    </row>
    <row r="88" customFormat="false" ht="23.85" hidden="false" customHeight="false" outlineLevel="0" collapsed="false">
      <c r="A88" s="30" t="s">
        <v>318</v>
      </c>
      <c r="B88" s="31" t="s">
        <v>76</v>
      </c>
      <c r="C88" s="31" t="s">
        <v>319</v>
      </c>
      <c r="D88" s="31" t="s">
        <v>320</v>
      </c>
      <c r="E88" s="30" t="s">
        <v>104</v>
      </c>
      <c r="F88" s="31" t="s">
        <v>118</v>
      </c>
      <c r="G88" s="31" t="s">
        <v>37</v>
      </c>
      <c r="H88" s="30" t="s">
        <v>44</v>
      </c>
      <c r="I88" s="30" t="str">
        <f aca="false">IF(OR(E88="Ambas",Instruções!$C$5="",E88=Instruções!$C$5),"Sim","Não")</f>
        <v>Sim</v>
      </c>
      <c r="J88" s="32"/>
      <c r="K88" s="33"/>
      <c r="L88" s="33"/>
      <c r="M88" s="33"/>
      <c r="N88" s="34"/>
    </row>
    <row r="89" customFormat="false" ht="23.85" hidden="false" customHeight="false" outlineLevel="0" collapsed="false">
      <c r="A89" s="30" t="s">
        <v>321</v>
      </c>
      <c r="B89" s="31" t="s">
        <v>76</v>
      </c>
      <c r="C89" s="31" t="s">
        <v>319</v>
      </c>
      <c r="D89" s="31" t="s">
        <v>322</v>
      </c>
      <c r="E89" s="30" t="s">
        <v>104</v>
      </c>
      <c r="F89" s="31" t="s">
        <v>105</v>
      </c>
      <c r="G89" s="31" t="s">
        <v>37</v>
      </c>
      <c r="H89" s="30" t="s">
        <v>44</v>
      </c>
      <c r="I89" s="30" t="str">
        <f aca="false">IF(OR(E89="Ambas",Instruções!$C$5="",E89=Instruções!$C$5),"Sim","Não")</f>
        <v>Sim</v>
      </c>
      <c r="J89" s="32"/>
      <c r="K89" s="33"/>
      <c r="L89" s="33"/>
      <c r="M89" s="33"/>
      <c r="N89" s="34"/>
    </row>
    <row r="90" customFormat="false" ht="23.85" hidden="false" customHeight="false" outlineLevel="0" collapsed="false">
      <c r="A90" s="30" t="s">
        <v>323</v>
      </c>
      <c r="B90" s="31" t="s">
        <v>76</v>
      </c>
      <c r="C90" s="31" t="s">
        <v>319</v>
      </c>
      <c r="D90" s="31" t="s">
        <v>324</v>
      </c>
      <c r="E90" s="30" t="s">
        <v>104</v>
      </c>
      <c r="F90" s="31" t="s">
        <v>105</v>
      </c>
      <c r="G90" s="31" t="s">
        <v>37</v>
      </c>
      <c r="H90" s="30" t="s">
        <v>48</v>
      </c>
      <c r="I90" s="30" t="str">
        <f aca="false">IF(OR(E90="Ambas",Instruções!$C$5="",E90=Instruções!$C$5),"Sim","Não")</f>
        <v>Sim</v>
      </c>
      <c r="J90" s="32"/>
      <c r="K90" s="33"/>
      <c r="L90" s="33"/>
      <c r="M90" s="33"/>
      <c r="N90" s="34"/>
    </row>
    <row r="91" customFormat="false" ht="23.85" hidden="false" customHeight="false" outlineLevel="0" collapsed="false">
      <c r="A91" s="30" t="s">
        <v>325</v>
      </c>
      <c r="B91" s="31" t="s">
        <v>76</v>
      </c>
      <c r="C91" s="31" t="s">
        <v>319</v>
      </c>
      <c r="D91" s="31" t="s">
        <v>326</v>
      </c>
      <c r="E91" s="30" t="s">
        <v>114</v>
      </c>
      <c r="F91" s="31" t="s">
        <v>105</v>
      </c>
      <c r="G91" s="31" t="s">
        <v>37</v>
      </c>
      <c r="H91" s="30" t="s">
        <v>46</v>
      </c>
      <c r="I91" s="30" t="str">
        <f aca="false">IF(OR(E91="Ambas",Instruções!$C$5="",E91=Instruções!$C$5),"Sim","Não")</f>
        <v>Sim</v>
      </c>
      <c r="J91" s="32"/>
      <c r="K91" s="33"/>
      <c r="L91" s="33"/>
      <c r="M91" s="33"/>
      <c r="N91" s="34"/>
    </row>
    <row r="92" customFormat="false" ht="15" hidden="false" customHeight="false" outlineLevel="0" collapsed="false">
      <c r="A92" s="30" t="s">
        <v>327</v>
      </c>
      <c r="B92" s="31" t="s">
        <v>76</v>
      </c>
      <c r="C92" s="31" t="s">
        <v>328</v>
      </c>
      <c r="D92" s="31" t="s">
        <v>329</v>
      </c>
      <c r="E92" s="30" t="s">
        <v>104</v>
      </c>
      <c r="F92" s="31" t="s">
        <v>105</v>
      </c>
      <c r="G92" s="31" t="s">
        <v>37</v>
      </c>
      <c r="H92" s="30" t="s">
        <v>46</v>
      </c>
      <c r="I92" s="30" t="str">
        <f aca="false">IF(OR(E92="Ambas",Instruções!$C$5="",E92=Instruções!$C$5),"Sim","Não")</f>
        <v>Sim</v>
      </c>
      <c r="J92" s="32"/>
      <c r="K92" s="33"/>
      <c r="L92" s="33"/>
      <c r="M92" s="33"/>
      <c r="N92" s="34"/>
    </row>
    <row r="93" customFormat="false" ht="23.85" hidden="false" customHeight="false" outlineLevel="0" collapsed="false">
      <c r="A93" s="30" t="s">
        <v>330</v>
      </c>
      <c r="B93" s="31" t="s">
        <v>76</v>
      </c>
      <c r="C93" s="31" t="s">
        <v>328</v>
      </c>
      <c r="D93" s="31" t="s">
        <v>331</v>
      </c>
      <c r="E93" s="30" t="s">
        <v>104</v>
      </c>
      <c r="F93" s="31" t="s">
        <v>105</v>
      </c>
      <c r="G93" s="31" t="s">
        <v>37</v>
      </c>
      <c r="H93" s="30" t="s">
        <v>48</v>
      </c>
      <c r="I93" s="30" t="str">
        <f aca="false">IF(OR(E93="Ambas",Instruções!$C$5="",E93=Instruções!$C$5),"Sim","Não")</f>
        <v>Sim</v>
      </c>
      <c r="J93" s="32"/>
      <c r="K93" s="33"/>
      <c r="L93" s="33"/>
      <c r="M93" s="33"/>
      <c r="N93" s="34"/>
    </row>
    <row r="94" customFormat="false" ht="23.85" hidden="false" customHeight="false" outlineLevel="0" collapsed="false">
      <c r="A94" s="30" t="s">
        <v>332</v>
      </c>
      <c r="B94" s="31" t="s">
        <v>76</v>
      </c>
      <c r="C94" s="31" t="s">
        <v>333</v>
      </c>
      <c r="D94" s="31" t="s">
        <v>334</v>
      </c>
      <c r="E94" s="30" t="s">
        <v>104</v>
      </c>
      <c r="F94" s="31" t="s">
        <v>105</v>
      </c>
      <c r="G94" s="31" t="s">
        <v>37</v>
      </c>
      <c r="H94" s="30" t="s">
        <v>44</v>
      </c>
      <c r="I94" s="30" t="str">
        <f aca="false">IF(OR(E94="Ambas",Instruções!$C$5="",E94=Instruções!$C$5),"Sim","Não")</f>
        <v>Sim</v>
      </c>
      <c r="J94" s="32"/>
      <c r="K94" s="33"/>
      <c r="L94" s="33"/>
      <c r="M94" s="33"/>
      <c r="N94" s="34"/>
    </row>
    <row r="95" customFormat="false" ht="23.85" hidden="false" customHeight="false" outlineLevel="0" collapsed="false">
      <c r="A95" s="30" t="s">
        <v>335</v>
      </c>
      <c r="B95" s="31" t="s">
        <v>76</v>
      </c>
      <c r="C95" s="31" t="s">
        <v>333</v>
      </c>
      <c r="D95" s="31" t="s">
        <v>336</v>
      </c>
      <c r="E95" s="30" t="s">
        <v>104</v>
      </c>
      <c r="F95" s="31" t="s">
        <v>105</v>
      </c>
      <c r="G95" s="31" t="s">
        <v>37</v>
      </c>
      <c r="H95" s="30" t="s">
        <v>48</v>
      </c>
      <c r="I95" s="30" t="str">
        <f aca="false">IF(OR(E95="Ambas",Instruções!$C$5="",E95=Instruções!$C$5),"Sim","Não")</f>
        <v>Sim</v>
      </c>
      <c r="J95" s="32"/>
      <c r="K95" s="33"/>
      <c r="L95" s="33"/>
      <c r="M95" s="33"/>
      <c r="N95" s="34"/>
    </row>
    <row r="96" customFormat="false" ht="15" hidden="false" customHeight="false" outlineLevel="0" collapsed="false">
      <c r="A96" s="30" t="s">
        <v>337</v>
      </c>
      <c r="B96" s="31" t="s">
        <v>76</v>
      </c>
      <c r="C96" s="31" t="s">
        <v>338</v>
      </c>
      <c r="D96" s="31" t="s">
        <v>339</v>
      </c>
      <c r="E96" s="30" t="s">
        <v>104</v>
      </c>
      <c r="F96" s="31" t="s">
        <v>295</v>
      </c>
      <c r="G96" s="31" t="s">
        <v>41</v>
      </c>
      <c r="H96" s="30" t="s">
        <v>46</v>
      </c>
      <c r="I96" s="30" t="str">
        <f aca="false">IF(OR(E96="Ambas",Instruções!$C$5="",E96=Instruções!$C$5),"Sim","Não")</f>
        <v>Sim</v>
      </c>
      <c r="J96" s="32"/>
      <c r="K96" s="33"/>
      <c r="L96" s="33"/>
      <c r="M96" s="33"/>
      <c r="N96" s="34"/>
    </row>
    <row r="97" customFormat="false" ht="15" hidden="false" customHeight="false" outlineLevel="0" collapsed="false">
      <c r="A97" s="30" t="s">
        <v>340</v>
      </c>
      <c r="B97" s="31" t="s">
        <v>76</v>
      </c>
      <c r="C97" s="31" t="s">
        <v>338</v>
      </c>
      <c r="D97" s="31" t="s">
        <v>341</v>
      </c>
      <c r="E97" s="30" t="s">
        <v>104</v>
      </c>
      <c r="F97" s="31" t="s">
        <v>76</v>
      </c>
      <c r="G97" s="31" t="s">
        <v>41</v>
      </c>
      <c r="H97" s="30" t="s">
        <v>46</v>
      </c>
      <c r="I97" s="30" t="str">
        <f aca="false">IF(OR(E97="Ambas",Instruções!$C$5="",E97=Instruções!$C$5),"Sim","Não")</f>
        <v>Sim</v>
      </c>
      <c r="J97" s="32"/>
      <c r="K97" s="33"/>
      <c r="L97" s="33"/>
      <c r="M97" s="33"/>
      <c r="N97" s="34"/>
    </row>
    <row r="98" customFormat="false" ht="23.85" hidden="false" customHeight="false" outlineLevel="0" collapsed="false">
      <c r="A98" s="30" t="s">
        <v>342</v>
      </c>
      <c r="B98" s="31" t="s">
        <v>76</v>
      </c>
      <c r="C98" s="31" t="s">
        <v>338</v>
      </c>
      <c r="D98" s="31" t="s">
        <v>343</v>
      </c>
      <c r="E98" s="30" t="s">
        <v>104</v>
      </c>
      <c r="F98" s="31" t="s">
        <v>105</v>
      </c>
      <c r="G98" s="31" t="s">
        <v>37</v>
      </c>
      <c r="H98" s="30" t="s">
        <v>46</v>
      </c>
      <c r="I98" s="30" t="str">
        <f aca="false">IF(OR(E98="Ambas",Instruções!$C$5="",E98=Instruções!$C$5),"Sim","Não")</f>
        <v>Sim</v>
      </c>
      <c r="J98" s="32"/>
      <c r="K98" s="33"/>
      <c r="L98" s="33"/>
      <c r="M98" s="33"/>
      <c r="N98" s="34"/>
    </row>
    <row r="99" customFormat="false" ht="23.85" hidden="false" customHeight="false" outlineLevel="0" collapsed="false">
      <c r="A99" s="30" t="s">
        <v>344</v>
      </c>
      <c r="B99" s="31" t="s">
        <v>77</v>
      </c>
      <c r="C99" s="31" t="s">
        <v>345</v>
      </c>
      <c r="D99" s="31" t="s">
        <v>346</v>
      </c>
      <c r="E99" s="30" t="s">
        <v>114</v>
      </c>
      <c r="F99" s="31" t="s">
        <v>105</v>
      </c>
      <c r="G99" s="31" t="s">
        <v>37</v>
      </c>
      <c r="H99" s="30" t="s">
        <v>44</v>
      </c>
      <c r="I99" s="30" t="str">
        <f aca="false">IF(OR(E99="Ambas",Instruções!$C$5="",E99=Instruções!$C$5),"Sim","Não")</f>
        <v>Sim</v>
      </c>
      <c r="J99" s="32"/>
      <c r="K99" s="33"/>
      <c r="L99" s="33"/>
      <c r="M99" s="33"/>
      <c r="N99" s="34"/>
    </row>
    <row r="100" customFormat="false" ht="15" hidden="false" customHeight="false" outlineLevel="0" collapsed="false">
      <c r="A100" s="30" t="s">
        <v>347</v>
      </c>
      <c r="B100" s="31" t="s">
        <v>77</v>
      </c>
      <c r="C100" s="31" t="s">
        <v>348</v>
      </c>
      <c r="D100" s="31" t="s">
        <v>349</v>
      </c>
      <c r="E100" s="30" t="s">
        <v>104</v>
      </c>
      <c r="F100" s="31" t="s">
        <v>350</v>
      </c>
      <c r="G100" s="31" t="s">
        <v>39</v>
      </c>
      <c r="H100" s="30" t="s">
        <v>46</v>
      </c>
      <c r="I100" s="30" t="str">
        <f aca="false">IF(OR(E100="Ambas",Instruções!$C$5="",E100=Instruções!$C$5),"Sim","Não")</f>
        <v>Sim</v>
      </c>
      <c r="J100" s="32"/>
      <c r="K100" s="33"/>
      <c r="L100" s="33"/>
      <c r="M100" s="33"/>
      <c r="N100" s="34"/>
    </row>
    <row r="101" customFormat="false" ht="15" hidden="false" customHeight="false" outlineLevel="0" collapsed="false">
      <c r="A101" s="30" t="s">
        <v>351</v>
      </c>
      <c r="B101" s="31" t="s">
        <v>77</v>
      </c>
      <c r="C101" s="31" t="s">
        <v>348</v>
      </c>
      <c r="D101" s="31" t="s">
        <v>352</v>
      </c>
      <c r="E101" s="30" t="s">
        <v>104</v>
      </c>
      <c r="F101" s="31" t="s">
        <v>105</v>
      </c>
      <c r="G101" s="31" t="s">
        <v>37</v>
      </c>
      <c r="H101" s="30" t="s">
        <v>46</v>
      </c>
      <c r="I101" s="30" t="str">
        <f aca="false">IF(OR(E101="Ambas",Instruções!$C$5="",E101=Instruções!$C$5),"Sim","Não")</f>
        <v>Sim</v>
      </c>
      <c r="J101" s="32"/>
      <c r="K101" s="33"/>
      <c r="L101" s="33"/>
      <c r="M101" s="33"/>
      <c r="N101" s="34"/>
    </row>
    <row r="102" customFormat="false" ht="15" hidden="false" customHeight="false" outlineLevel="0" collapsed="false">
      <c r="A102" s="30" t="s">
        <v>353</v>
      </c>
      <c r="B102" s="31" t="s">
        <v>77</v>
      </c>
      <c r="C102" s="31" t="s">
        <v>348</v>
      </c>
      <c r="D102" s="31" t="s">
        <v>354</v>
      </c>
      <c r="E102" s="30" t="s">
        <v>104</v>
      </c>
      <c r="F102" s="31" t="s">
        <v>355</v>
      </c>
      <c r="G102" s="31" t="s">
        <v>41</v>
      </c>
      <c r="H102" s="30" t="s">
        <v>46</v>
      </c>
      <c r="I102" s="30" t="str">
        <f aca="false">IF(OR(E102="Ambas",Instruções!$C$5="",E102=Instruções!$C$5),"Sim","Não")</f>
        <v>Sim</v>
      </c>
      <c r="J102" s="32"/>
      <c r="K102" s="33"/>
      <c r="L102" s="33"/>
      <c r="M102" s="33"/>
      <c r="N102" s="34"/>
    </row>
    <row r="103" customFormat="false" ht="15" hidden="false" customHeight="false" outlineLevel="0" collapsed="false">
      <c r="A103" s="30" t="s">
        <v>356</v>
      </c>
      <c r="B103" s="31" t="s">
        <v>77</v>
      </c>
      <c r="C103" s="31" t="s">
        <v>348</v>
      </c>
      <c r="D103" s="31" t="s">
        <v>357</v>
      </c>
      <c r="E103" s="30" t="s">
        <v>104</v>
      </c>
      <c r="F103" s="31" t="s">
        <v>105</v>
      </c>
      <c r="G103" s="31" t="s">
        <v>37</v>
      </c>
      <c r="H103" s="30" t="s">
        <v>48</v>
      </c>
      <c r="I103" s="30" t="str">
        <f aca="false">IF(OR(E103="Ambas",Instruções!$C$5="",E103=Instruções!$C$5),"Sim","Não")</f>
        <v>Sim</v>
      </c>
      <c r="J103" s="32"/>
      <c r="K103" s="33"/>
      <c r="L103" s="33"/>
      <c r="M103" s="33"/>
      <c r="N103" s="34"/>
    </row>
    <row r="104" customFormat="false" ht="15" hidden="false" customHeight="false" outlineLevel="0" collapsed="false">
      <c r="A104" s="30" t="s">
        <v>358</v>
      </c>
      <c r="B104" s="31" t="s">
        <v>77</v>
      </c>
      <c r="C104" s="31" t="s">
        <v>348</v>
      </c>
      <c r="D104" s="31" t="s">
        <v>359</v>
      </c>
      <c r="E104" s="30" t="s">
        <v>104</v>
      </c>
      <c r="F104" s="31" t="s">
        <v>105</v>
      </c>
      <c r="G104" s="31" t="s">
        <v>37</v>
      </c>
      <c r="H104" s="30" t="s">
        <v>48</v>
      </c>
      <c r="I104" s="30" t="str">
        <f aca="false">IF(OR(E104="Ambas",Instruções!$C$5="",E104=Instruções!$C$5),"Sim","Não")</f>
        <v>Sim</v>
      </c>
      <c r="J104" s="32"/>
      <c r="K104" s="33"/>
      <c r="L104" s="33"/>
      <c r="M104" s="33"/>
      <c r="N104" s="34"/>
    </row>
    <row r="105" customFormat="false" ht="23.85" hidden="false" customHeight="false" outlineLevel="0" collapsed="false">
      <c r="A105" s="30" t="s">
        <v>360</v>
      </c>
      <c r="B105" s="31" t="s">
        <v>77</v>
      </c>
      <c r="C105" s="31" t="s">
        <v>361</v>
      </c>
      <c r="D105" s="31" t="s">
        <v>362</v>
      </c>
      <c r="E105" s="30" t="s">
        <v>104</v>
      </c>
      <c r="F105" s="31" t="s">
        <v>363</v>
      </c>
      <c r="G105" s="31" t="s">
        <v>41</v>
      </c>
      <c r="H105" s="30" t="s">
        <v>46</v>
      </c>
      <c r="I105" s="30" t="str">
        <f aca="false">IF(OR(E105="Ambas",Instruções!$C$5="",E105=Instruções!$C$5),"Sim","Não")</f>
        <v>Sim</v>
      </c>
      <c r="J105" s="32"/>
      <c r="K105" s="33"/>
      <c r="L105" s="33"/>
      <c r="M105" s="33"/>
      <c r="N105" s="34"/>
    </row>
    <row r="106" customFormat="false" ht="23.85" hidden="false" customHeight="false" outlineLevel="0" collapsed="false">
      <c r="A106" s="30" t="s">
        <v>364</v>
      </c>
      <c r="B106" s="31" t="s">
        <v>77</v>
      </c>
      <c r="C106" s="31" t="s">
        <v>365</v>
      </c>
      <c r="D106" s="31" t="s">
        <v>366</v>
      </c>
      <c r="E106" s="30" t="s">
        <v>104</v>
      </c>
      <c r="F106" s="31" t="s">
        <v>367</v>
      </c>
      <c r="G106" s="31" t="s">
        <v>41</v>
      </c>
      <c r="H106" s="30" t="s">
        <v>44</v>
      </c>
      <c r="I106" s="30" t="str">
        <f aca="false">IF(OR(E106="Ambas",Instruções!$C$5="",E106=Instruções!$C$5),"Sim","Não")</f>
        <v>Sim</v>
      </c>
      <c r="J106" s="32"/>
      <c r="K106" s="33"/>
      <c r="L106" s="33"/>
      <c r="M106" s="33"/>
      <c r="N106" s="34"/>
    </row>
    <row r="107" customFormat="false" ht="15" hidden="false" customHeight="false" outlineLevel="0" collapsed="false">
      <c r="A107" s="30" t="s">
        <v>368</v>
      </c>
      <c r="B107" s="31" t="s">
        <v>77</v>
      </c>
      <c r="C107" s="31" t="s">
        <v>365</v>
      </c>
      <c r="D107" s="31" t="s">
        <v>369</v>
      </c>
      <c r="E107" s="30" t="s">
        <v>104</v>
      </c>
      <c r="F107" s="31" t="s">
        <v>105</v>
      </c>
      <c r="G107" s="31" t="s">
        <v>37</v>
      </c>
      <c r="H107" s="30" t="s">
        <v>46</v>
      </c>
      <c r="I107" s="30" t="str">
        <f aca="false">IF(OR(E107="Ambas",Instruções!$C$5="",E107=Instruções!$C$5),"Sim","Não")</f>
        <v>Sim</v>
      </c>
      <c r="J107" s="32"/>
      <c r="K107" s="33"/>
      <c r="L107" s="33"/>
      <c r="M107" s="33"/>
      <c r="N107" s="34"/>
    </row>
    <row r="108" customFormat="false" ht="15" hidden="false" customHeight="false" outlineLevel="0" collapsed="false">
      <c r="A108" s="30" t="s">
        <v>370</v>
      </c>
      <c r="B108" s="31" t="s">
        <v>77</v>
      </c>
      <c r="C108" s="31" t="s">
        <v>371</v>
      </c>
      <c r="D108" s="31" t="s">
        <v>372</v>
      </c>
      <c r="E108" s="30" t="s">
        <v>114</v>
      </c>
      <c r="F108" s="31" t="s">
        <v>105</v>
      </c>
      <c r="G108" s="31" t="s">
        <v>37</v>
      </c>
      <c r="H108" s="30" t="s">
        <v>48</v>
      </c>
      <c r="I108" s="30" t="str">
        <f aca="false">IF(OR(E108="Ambas",Instruções!$C$5="",E108=Instruções!$C$5),"Sim","Não")</f>
        <v>Sim</v>
      </c>
      <c r="J108" s="32"/>
      <c r="K108" s="33"/>
      <c r="L108" s="33"/>
      <c r="M108" s="33"/>
      <c r="N108" s="34"/>
    </row>
    <row r="109" customFormat="false" ht="15" hidden="false" customHeight="false" outlineLevel="0" collapsed="false">
      <c r="A109" s="30" t="s">
        <v>373</v>
      </c>
      <c r="B109" s="31" t="s">
        <v>77</v>
      </c>
      <c r="C109" s="31" t="s">
        <v>374</v>
      </c>
      <c r="D109" s="31" t="s">
        <v>375</v>
      </c>
      <c r="E109" s="30" t="s">
        <v>104</v>
      </c>
      <c r="F109" s="31" t="s">
        <v>105</v>
      </c>
      <c r="G109" s="31" t="s">
        <v>37</v>
      </c>
      <c r="H109" s="30" t="s">
        <v>48</v>
      </c>
      <c r="I109" s="30" t="str">
        <f aca="false">IF(OR(E109="Ambas",Instruções!$C$5="",E109=Instruções!$C$5),"Sim","Não")</f>
        <v>Sim</v>
      </c>
      <c r="J109" s="32"/>
      <c r="K109" s="33"/>
      <c r="L109" s="33"/>
      <c r="M109" s="33"/>
      <c r="N109" s="34"/>
    </row>
    <row r="110" customFormat="false" ht="15" hidden="false" customHeight="false" outlineLevel="0" collapsed="false">
      <c r="A110" s="30" t="s">
        <v>376</v>
      </c>
      <c r="B110" s="31" t="s">
        <v>78</v>
      </c>
      <c r="C110" s="31" t="s">
        <v>345</v>
      </c>
      <c r="D110" s="31" t="s">
        <v>377</v>
      </c>
      <c r="E110" s="30" t="s">
        <v>114</v>
      </c>
      <c r="F110" s="31" t="s">
        <v>105</v>
      </c>
      <c r="G110" s="31" t="s">
        <v>37</v>
      </c>
      <c r="H110" s="30" t="s">
        <v>44</v>
      </c>
      <c r="I110" s="30" t="str">
        <f aca="false">IF(OR(E110="Ambas",Instruções!$C$5="",E110=Instruções!$C$5),"Sim","Não")</f>
        <v>Sim</v>
      </c>
      <c r="J110" s="32"/>
      <c r="K110" s="33"/>
      <c r="L110" s="33"/>
      <c r="M110" s="33"/>
      <c r="N110" s="34"/>
    </row>
    <row r="111" customFormat="false" ht="15" hidden="false" customHeight="false" outlineLevel="0" collapsed="false">
      <c r="A111" s="30" t="s">
        <v>378</v>
      </c>
      <c r="B111" s="31" t="s">
        <v>78</v>
      </c>
      <c r="C111" s="31" t="s">
        <v>345</v>
      </c>
      <c r="D111" s="31" t="s">
        <v>379</v>
      </c>
      <c r="E111" s="30" t="s">
        <v>104</v>
      </c>
      <c r="F111" s="31" t="s">
        <v>380</v>
      </c>
      <c r="G111" s="31" t="s">
        <v>39</v>
      </c>
      <c r="H111" s="30" t="s">
        <v>44</v>
      </c>
      <c r="I111" s="30" t="str">
        <f aca="false">IF(OR(E111="Ambas",Instruções!$C$5="",E111=Instruções!$C$5),"Sim","Não")</f>
        <v>Sim</v>
      </c>
      <c r="J111" s="32"/>
      <c r="K111" s="33"/>
      <c r="L111" s="33"/>
      <c r="M111" s="33"/>
      <c r="N111" s="34"/>
    </row>
    <row r="112" customFormat="false" ht="15" hidden="false" customHeight="false" outlineLevel="0" collapsed="false">
      <c r="A112" s="30" t="s">
        <v>381</v>
      </c>
      <c r="B112" s="31" t="s">
        <v>78</v>
      </c>
      <c r="C112" s="31" t="s">
        <v>345</v>
      </c>
      <c r="D112" s="31" t="s">
        <v>382</v>
      </c>
      <c r="E112" s="30" t="s">
        <v>114</v>
      </c>
      <c r="F112" s="31" t="s">
        <v>380</v>
      </c>
      <c r="G112" s="31" t="s">
        <v>39</v>
      </c>
      <c r="H112" s="30" t="s">
        <v>44</v>
      </c>
      <c r="I112" s="30" t="str">
        <f aca="false">IF(OR(E112="Ambas",Instruções!$C$5="",E112=Instruções!$C$5),"Sim","Não")</f>
        <v>Sim</v>
      </c>
      <c r="J112" s="32"/>
      <c r="K112" s="33"/>
      <c r="L112" s="33"/>
      <c r="M112" s="33"/>
      <c r="N112" s="34"/>
    </row>
    <row r="113" customFormat="false" ht="23.85" hidden="false" customHeight="false" outlineLevel="0" collapsed="false">
      <c r="A113" s="30" t="s">
        <v>383</v>
      </c>
      <c r="B113" s="31" t="s">
        <v>78</v>
      </c>
      <c r="C113" s="31" t="s">
        <v>41</v>
      </c>
      <c r="D113" s="31" t="s">
        <v>384</v>
      </c>
      <c r="E113" s="30" t="s">
        <v>104</v>
      </c>
      <c r="F113" s="31" t="s">
        <v>385</v>
      </c>
      <c r="G113" s="31" t="s">
        <v>41</v>
      </c>
      <c r="H113" s="30" t="s">
        <v>44</v>
      </c>
      <c r="I113" s="30" t="str">
        <f aca="false">IF(OR(E113="Ambas",Instruções!$C$5="",E113=Instruções!$C$5),"Sim","Não")</f>
        <v>Sim</v>
      </c>
      <c r="J113" s="32"/>
      <c r="K113" s="33"/>
      <c r="L113" s="33"/>
      <c r="M113" s="33"/>
      <c r="N113" s="34"/>
    </row>
    <row r="114" customFormat="false" ht="23.85" hidden="false" customHeight="false" outlineLevel="0" collapsed="false">
      <c r="A114" s="30" t="s">
        <v>386</v>
      </c>
      <c r="B114" s="31" t="s">
        <v>78</v>
      </c>
      <c r="C114" s="31" t="s">
        <v>41</v>
      </c>
      <c r="D114" s="31" t="s">
        <v>387</v>
      </c>
      <c r="E114" s="30" t="s">
        <v>104</v>
      </c>
      <c r="F114" s="31" t="s">
        <v>388</v>
      </c>
      <c r="G114" s="31" t="s">
        <v>41</v>
      </c>
      <c r="H114" s="30" t="s">
        <v>44</v>
      </c>
      <c r="I114" s="30" t="str">
        <f aca="false">IF(OR(E114="Ambas",Instruções!$C$5="",E114=Instruções!$C$5),"Sim","Não")</f>
        <v>Sim</v>
      </c>
      <c r="J114" s="32"/>
      <c r="K114" s="33"/>
      <c r="L114" s="33"/>
      <c r="M114" s="33"/>
      <c r="N114" s="34"/>
    </row>
    <row r="115" customFormat="false" ht="15" hidden="false" customHeight="false" outlineLevel="0" collapsed="false">
      <c r="A115" s="30" t="s">
        <v>389</v>
      </c>
      <c r="B115" s="31" t="s">
        <v>78</v>
      </c>
      <c r="C115" s="31" t="s">
        <v>41</v>
      </c>
      <c r="D115" s="31" t="s">
        <v>390</v>
      </c>
      <c r="E115" s="30" t="s">
        <v>104</v>
      </c>
      <c r="F115" s="31" t="s">
        <v>391</v>
      </c>
      <c r="G115" s="31" t="s">
        <v>41</v>
      </c>
      <c r="H115" s="30" t="s">
        <v>46</v>
      </c>
      <c r="I115" s="30" t="str">
        <f aca="false">IF(OR(E115="Ambas",Instruções!$C$5="",E115=Instruções!$C$5),"Sim","Não")</f>
        <v>Sim</v>
      </c>
      <c r="J115" s="32"/>
      <c r="K115" s="33"/>
      <c r="L115" s="33"/>
      <c r="M115" s="33"/>
      <c r="N115" s="34"/>
    </row>
    <row r="116" customFormat="false" ht="23.85" hidden="false" customHeight="false" outlineLevel="0" collapsed="false">
      <c r="A116" s="30" t="s">
        <v>392</v>
      </c>
      <c r="B116" s="31" t="s">
        <v>78</v>
      </c>
      <c r="C116" s="31" t="s">
        <v>41</v>
      </c>
      <c r="D116" s="31" t="s">
        <v>393</v>
      </c>
      <c r="E116" s="30" t="s">
        <v>104</v>
      </c>
      <c r="F116" s="31" t="s">
        <v>394</v>
      </c>
      <c r="G116" s="31" t="s">
        <v>41</v>
      </c>
      <c r="H116" s="30" t="s">
        <v>46</v>
      </c>
      <c r="I116" s="30" t="str">
        <f aca="false">IF(OR(E116="Ambas",Instruções!$C$5="",E116=Instruções!$C$5),"Sim","Não")</f>
        <v>Sim</v>
      </c>
      <c r="J116" s="32"/>
      <c r="K116" s="33"/>
      <c r="L116" s="33"/>
      <c r="M116" s="33"/>
      <c r="N116" s="34"/>
    </row>
    <row r="117" customFormat="false" ht="15" hidden="false" customHeight="false" outlineLevel="0" collapsed="false">
      <c r="A117" s="30" t="s">
        <v>395</v>
      </c>
      <c r="B117" s="31" t="s">
        <v>78</v>
      </c>
      <c r="C117" s="31" t="s">
        <v>348</v>
      </c>
      <c r="D117" s="31" t="s">
        <v>396</v>
      </c>
      <c r="E117" s="30" t="s">
        <v>104</v>
      </c>
      <c r="F117" s="31" t="s">
        <v>105</v>
      </c>
      <c r="G117" s="31" t="s">
        <v>37</v>
      </c>
      <c r="H117" s="30" t="s">
        <v>46</v>
      </c>
      <c r="I117" s="30" t="str">
        <f aca="false">IF(OR(E117="Ambas",Instruções!$C$5="",E117=Instruções!$C$5),"Sim","Não")</f>
        <v>Sim</v>
      </c>
      <c r="J117" s="32"/>
      <c r="K117" s="33"/>
      <c r="L117" s="33"/>
      <c r="M117" s="33"/>
      <c r="N117" s="34"/>
    </row>
    <row r="118" customFormat="false" ht="15" hidden="false" customHeight="false" outlineLevel="0" collapsed="false">
      <c r="A118" s="30" t="s">
        <v>397</v>
      </c>
      <c r="B118" s="31" t="s">
        <v>78</v>
      </c>
      <c r="C118" s="31" t="s">
        <v>348</v>
      </c>
      <c r="D118" s="31" t="s">
        <v>398</v>
      </c>
      <c r="E118" s="30" t="s">
        <v>104</v>
      </c>
      <c r="F118" s="31" t="s">
        <v>105</v>
      </c>
      <c r="G118" s="31" t="s">
        <v>37</v>
      </c>
      <c r="H118" s="30" t="s">
        <v>46</v>
      </c>
      <c r="I118" s="30" t="str">
        <f aca="false">IF(OR(E118="Ambas",Instruções!$C$5="",E118=Instruções!$C$5),"Sim","Não")</f>
        <v>Sim</v>
      </c>
      <c r="J118" s="32"/>
      <c r="K118" s="33"/>
      <c r="L118" s="33"/>
      <c r="M118" s="33"/>
      <c r="N118" s="34"/>
    </row>
    <row r="119" customFormat="false" ht="15" hidden="false" customHeight="false" outlineLevel="0" collapsed="false">
      <c r="A119" s="30" t="s">
        <v>399</v>
      </c>
      <c r="B119" s="31" t="s">
        <v>78</v>
      </c>
      <c r="C119" s="31" t="s">
        <v>348</v>
      </c>
      <c r="D119" s="31" t="s">
        <v>400</v>
      </c>
      <c r="E119" s="30" t="s">
        <v>104</v>
      </c>
      <c r="F119" s="31" t="s">
        <v>105</v>
      </c>
      <c r="G119" s="31" t="s">
        <v>37</v>
      </c>
      <c r="H119" s="30" t="s">
        <v>48</v>
      </c>
      <c r="I119" s="30" t="str">
        <f aca="false">IF(OR(E119="Ambas",Instruções!$C$5="",E119=Instruções!$C$5),"Sim","Não")</f>
        <v>Sim</v>
      </c>
      <c r="J119" s="32"/>
      <c r="K119" s="33"/>
      <c r="L119" s="33"/>
      <c r="M119" s="33"/>
      <c r="N119" s="34"/>
    </row>
    <row r="120" customFormat="false" ht="15" hidden="false" customHeight="false" outlineLevel="0" collapsed="false">
      <c r="A120" s="30" t="s">
        <v>401</v>
      </c>
      <c r="B120" s="31" t="s">
        <v>78</v>
      </c>
      <c r="C120" s="31" t="s">
        <v>374</v>
      </c>
      <c r="D120" s="31" t="s">
        <v>402</v>
      </c>
      <c r="E120" s="30" t="s">
        <v>104</v>
      </c>
      <c r="F120" s="31" t="s">
        <v>105</v>
      </c>
      <c r="G120" s="31" t="s">
        <v>37</v>
      </c>
      <c r="H120" s="30" t="s">
        <v>48</v>
      </c>
      <c r="I120" s="30" t="str">
        <f aca="false">IF(OR(E120="Ambas",Instruções!$C$5="",E120=Instruções!$C$5),"Sim","Não")</f>
        <v>Sim</v>
      </c>
      <c r="J120" s="32"/>
      <c r="K120" s="33"/>
      <c r="L120" s="33"/>
      <c r="M120" s="33"/>
      <c r="N120" s="34"/>
    </row>
    <row r="121" customFormat="false" ht="15" hidden="false" customHeight="false" outlineLevel="0" collapsed="false">
      <c r="A121" s="30" t="s">
        <v>403</v>
      </c>
      <c r="B121" s="31" t="s">
        <v>79</v>
      </c>
      <c r="C121" s="31" t="s">
        <v>345</v>
      </c>
      <c r="D121" s="31" t="s">
        <v>404</v>
      </c>
      <c r="E121" s="30" t="s">
        <v>114</v>
      </c>
      <c r="F121" s="31" t="s">
        <v>405</v>
      </c>
      <c r="G121" s="31" t="s">
        <v>39</v>
      </c>
      <c r="H121" s="30" t="s">
        <v>44</v>
      </c>
      <c r="I121" s="30" t="str">
        <f aca="false">IF(OR(E121="Ambas",Instruções!$C$5="",E121=Instruções!$C$5),"Sim","Não")</f>
        <v>Sim</v>
      </c>
      <c r="J121" s="32"/>
      <c r="K121" s="33"/>
      <c r="L121" s="33"/>
      <c r="M121" s="33"/>
      <c r="N121" s="34"/>
    </row>
    <row r="122" customFormat="false" ht="15" hidden="false" customHeight="false" outlineLevel="0" collapsed="false">
      <c r="A122" s="30" t="s">
        <v>406</v>
      </c>
      <c r="B122" s="31" t="s">
        <v>79</v>
      </c>
      <c r="C122" s="31" t="s">
        <v>345</v>
      </c>
      <c r="D122" s="31" t="s">
        <v>407</v>
      </c>
      <c r="E122" s="30" t="s">
        <v>104</v>
      </c>
      <c r="F122" s="31" t="s">
        <v>408</v>
      </c>
      <c r="G122" s="31" t="s">
        <v>41</v>
      </c>
      <c r="H122" s="30" t="s">
        <v>44</v>
      </c>
      <c r="I122" s="30" t="str">
        <f aca="false">IF(OR(E122="Ambas",Instruções!$C$5="",E122=Instruções!$C$5),"Sim","Não")</f>
        <v>Sim</v>
      </c>
      <c r="J122" s="32"/>
      <c r="K122" s="33"/>
      <c r="L122" s="33"/>
      <c r="M122" s="33"/>
      <c r="N122" s="34"/>
    </row>
    <row r="123" customFormat="false" ht="15" hidden="false" customHeight="false" outlineLevel="0" collapsed="false">
      <c r="A123" s="30" t="s">
        <v>409</v>
      </c>
      <c r="B123" s="31" t="s">
        <v>79</v>
      </c>
      <c r="C123" s="31" t="s">
        <v>348</v>
      </c>
      <c r="D123" s="31" t="s">
        <v>410</v>
      </c>
      <c r="E123" s="30" t="s">
        <v>104</v>
      </c>
      <c r="F123" s="31" t="s">
        <v>105</v>
      </c>
      <c r="G123" s="31" t="s">
        <v>37</v>
      </c>
      <c r="H123" s="30" t="s">
        <v>44</v>
      </c>
      <c r="I123" s="30" t="str">
        <f aca="false">IF(OR(E123="Ambas",Instruções!$C$5="",E123=Instruções!$C$5),"Sim","Não")</f>
        <v>Sim</v>
      </c>
      <c r="J123" s="32"/>
      <c r="K123" s="33"/>
      <c r="L123" s="33"/>
      <c r="M123" s="33"/>
      <c r="N123" s="34"/>
    </row>
    <row r="124" customFormat="false" ht="15" hidden="false" customHeight="false" outlineLevel="0" collapsed="false">
      <c r="A124" s="30" t="s">
        <v>411</v>
      </c>
      <c r="B124" s="31" t="s">
        <v>79</v>
      </c>
      <c r="C124" s="31" t="s">
        <v>348</v>
      </c>
      <c r="D124" s="31" t="s">
        <v>412</v>
      </c>
      <c r="E124" s="30" t="s">
        <v>104</v>
      </c>
      <c r="F124" s="31" t="s">
        <v>105</v>
      </c>
      <c r="G124" s="31" t="s">
        <v>37</v>
      </c>
      <c r="H124" s="30" t="s">
        <v>46</v>
      </c>
      <c r="I124" s="30" t="str">
        <f aca="false">IF(OR(E124="Ambas",Instruções!$C$5="",E124=Instruções!$C$5),"Sim","Não")</f>
        <v>Sim</v>
      </c>
      <c r="J124" s="32"/>
      <c r="K124" s="33"/>
      <c r="L124" s="33"/>
      <c r="M124" s="33"/>
      <c r="N124" s="34"/>
    </row>
    <row r="125" customFormat="false" ht="15" hidden="false" customHeight="false" outlineLevel="0" collapsed="false">
      <c r="A125" s="30" t="s">
        <v>413</v>
      </c>
      <c r="B125" s="31" t="s">
        <v>79</v>
      </c>
      <c r="C125" s="31" t="s">
        <v>348</v>
      </c>
      <c r="D125" s="31" t="s">
        <v>414</v>
      </c>
      <c r="E125" s="30" t="s">
        <v>104</v>
      </c>
      <c r="F125" s="31" t="s">
        <v>105</v>
      </c>
      <c r="G125" s="31" t="s">
        <v>37</v>
      </c>
      <c r="H125" s="30" t="s">
        <v>46</v>
      </c>
      <c r="I125" s="30" t="str">
        <f aca="false">IF(OR(E125="Ambas",Instruções!$C$5="",E125=Instruções!$C$5),"Sim","Não")</f>
        <v>Sim</v>
      </c>
      <c r="J125" s="32"/>
      <c r="K125" s="33"/>
      <c r="L125" s="33"/>
      <c r="M125" s="33"/>
      <c r="N125" s="34"/>
    </row>
    <row r="126" customFormat="false" ht="23.85" hidden="false" customHeight="false" outlineLevel="0" collapsed="false">
      <c r="A126" s="30" t="s">
        <v>415</v>
      </c>
      <c r="B126" s="31" t="s">
        <v>79</v>
      </c>
      <c r="C126" s="31" t="s">
        <v>41</v>
      </c>
      <c r="D126" s="31" t="s">
        <v>416</v>
      </c>
      <c r="E126" s="30" t="s">
        <v>104</v>
      </c>
      <c r="F126" s="31" t="s">
        <v>417</v>
      </c>
      <c r="G126" s="31" t="s">
        <v>41</v>
      </c>
      <c r="H126" s="30" t="s">
        <v>46</v>
      </c>
      <c r="I126" s="30" t="str">
        <f aca="false">IF(OR(E126="Ambas",Instruções!$C$5="",E126=Instruções!$C$5),"Sim","Não")</f>
        <v>Sim</v>
      </c>
      <c r="J126" s="32"/>
      <c r="K126" s="33"/>
      <c r="L126" s="33"/>
      <c r="M126" s="33"/>
      <c r="N126" s="34"/>
    </row>
    <row r="127" customFormat="false" ht="15" hidden="false" customHeight="false" outlineLevel="0" collapsed="false">
      <c r="A127" s="30" t="s">
        <v>418</v>
      </c>
      <c r="B127" s="31" t="s">
        <v>79</v>
      </c>
      <c r="C127" s="31" t="s">
        <v>41</v>
      </c>
      <c r="D127" s="31" t="s">
        <v>419</v>
      </c>
      <c r="E127" s="30" t="s">
        <v>114</v>
      </c>
      <c r="F127" s="31" t="s">
        <v>420</v>
      </c>
      <c r="G127" s="31" t="s">
        <v>41</v>
      </c>
      <c r="H127" s="30" t="s">
        <v>46</v>
      </c>
      <c r="I127" s="30" t="str">
        <f aca="false">IF(OR(E127="Ambas",Instruções!$C$5="",E127=Instruções!$C$5),"Sim","Não")</f>
        <v>Sim</v>
      </c>
      <c r="J127" s="32"/>
      <c r="K127" s="33"/>
      <c r="L127" s="33"/>
      <c r="M127" s="33"/>
      <c r="N127" s="34"/>
    </row>
    <row r="128" customFormat="false" ht="15" hidden="false" customHeight="false" outlineLevel="0" collapsed="false">
      <c r="A128" s="30" t="s">
        <v>421</v>
      </c>
      <c r="B128" s="31" t="s">
        <v>79</v>
      </c>
      <c r="C128" s="31" t="s">
        <v>422</v>
      </c>
      <c r="D128" s="31" t="s">
        <v>423</v>
      </c>
      <c r="E128" s="30" t="s">
        <v>104</v>
      </c>
      <c r="F128" s="31" t="s">
        <v>105</v>
      </c>
      <c r="G128" s="31" t="s">
        <v>37</v>
      </c>
      <c r="H128" s="30" t="s">
        <v>48</v>
      </c>
      <c r="I128" s="30" t="str">
        <f aca="false">IF(OR(E128="Ambas",Instruções!$C$5="",E128=Instruções!$C$5),"Sim","Não")</f>
        <v>Sim</v>
      </c>
      <c r="J128" s="32"/>
      <c r="K128" s="33"/>
      <c r="L128" s="33"/>
      <c r="M128" s="33"/>
      <c r="N128" s="34"/>
    </row>
    <row r="129" customFormat="false" ht="15" hidden="false" customHeight="false" outlineLevel="0" collapsed="false">
      <c r="A129" s="30" t="s">
        <v>424</v>
      </c>
      <c r="B129" s="31" t="s">
        <v>80</v>
      </c>
      <c r="C129" s="31" t="s">
        <v>425</v>
      </c>
      <c r="D129" s="31" t="s">
        <v>426</v>
      </c>
      <c r="E129" s="30" t="s">
        <v>114</v>
      </c>
      <c r="F129" s="31" t="s">
        <v>105</v>
      </c>
      <c r="G129" s="31" t="s">
        <v>37</v>
      </c>
      <c r="H129" s="30" t="s">
        <v>44</v>
      </c>
      <c r="I129" s="30" t="str">
        <f aca="false">IF(OR(E129="Ambas",Instruções!$C$5="",E129=Instruções!$C$5),"Sim","Não")</f>
        <v>Sim</v>
      </c>
      <c r="J129" s="32"/>
      <c r="K129" s="33"/>
      <c r="L129" s="33"/>
      <c r="M129" s="33"/>
      <c r="N129" s="34"/>
    </row>
    <row r="130" customFormat="false" ht="15" hidden="false" customHeight="false" outlineLevel="0" collapsed="false">
      <c r="A130" s="30" t="s">
        <v>427</v>
      </c>
      <c r="B130" s="31" t="s">
        <v>80</v>
      </c>
      <c r="C130" s="31" t="s">
        <v>425</v>
      </c>
      <c r="D130" s="31" t="s">
        <v>428</v>
      </c>
      <c r="E130" s="30" t="s">
        <v>104</v>
      </c>
      <c r="F130" s="31" t="s">
        <v>105</v>
      </c>
      <c r="G130" s="31" t="s">
        <v>37</v>
      </c>
      <c r="H130" s="30" t="s">
        <v>46</v>
      </c>
      <c r="I130" s="30" t="str">
        <f aca="false">IF(OR(E130="Ambas",Instruções!$C$5="",E130=Instruções!$C$5),"Sim","Não")</f>
        <v>Sim</v>
      </c>
      <c r="J130" s="32"/>
      <c r="K130" s="33"/>
      <c r="L130" s="33"/>
      <c r="M130" s="33"/>
      <c r="N130" s="34"/>
    </row>
    <row r="131" customFormat="false" ht="23.85" hidden="false" customHeight="false" outlineLevel="0" collapsed="false">
      <c r="A131" s="30" t="s">
        <v>429</v>
      </c>
      <c r="B131" s="31" t="s">
        <v>80</v>
      </c>
      <c r="C131" s="31" t="s">
        <v>430</v>
      </c>
      <c r="D131" s="31" t="s">
        <v>431</v>
      </c>
      <c r="E131" s="30" t="s">
        <v>104</v>
      </c>
      <c r="F131" s="31" t="s">
        <v>105</v>
      </c>
      <c r="G131" s="31" t="s">
        <v>37</v>
      </c>
      <c r="H131" s="30" t="s">
        <v>44</v>
      </c>
      <c r="I131" s="30" t="str">
        <f aca="false">IF(OR(E131="Ambas",Instruções!$C$5="",E131=Instruções!$C$5),"Sim","Não")</f>
        <v>Sim</v>
      </c>
      <c r="J131" s="32"/>
      <c r="K131" s="33"/>
      <c r="L131" s="33"/>
      <c r="M131" s="33"/>
      <c r="N131" s="34"/>
    </row>
    <row r="132" customFormat="false" ht="15" hidden="false" customHeight="false" outlineLevel="0" collapsed="false">
      <c r="A132" s="30" t="s">
        <v>432</v>
      </c>
      <c r="B132" s="31" t="s">
        <v>80</v>
      </c>
      <c r="C132" s="31" t="s">
        <v>203</v>
      </c>
      <c r="D132" s="31" t="s">
        <v>433</v>
      </c>
      <c r="E132" s="30" t="s">
        <v>104</v>
      </c>
      <c r="F132" s="31" t="s">
        <v>205</v>
      </c>
      <c r="G132" s="31" t="s">
        <v>37</v>
      </c>
      <c r="H132" s="30" t="s">
        <v>44</v>
      </c>
      <c r="I132" s="30" t="str">
        <f aca="false">IF(OR(E132="Ambas",Instruções!$C$5="",E132=Instruções!$C$5),"Sim","Não")</f>
        <v>Sim</v>
      </c>
      <c r="J132" s="32"/>
      <c r="K132" s="33"/>
      <c r="L132" s="33"/>
      <c r="M132" s="33"/>
      <c r="N132" s="34"/>
    </row>
    <row r="133" customFormat="false" ht="15" hidden="false" customHeight="false" outlineLevel="0" collapsed="false">
      <c r="A133" s="30" t="s">
        <v>434</v>
      </c>
      <c r="B133" s="31" t="s">
        <v>80</v>
      </c>
      <c r="C133" s="31" t="s">
        <v>203</v>
      </c>
      <c r="D133" s="31" t="s">
        <v>435</v>
      </c>
      <c r="E133" s="30" t="s">
        <v>104</v>
      </c>
      <c r="F133" s="31" t="s">
        <v>118</v>
      </c>
      <c r="G133" s="31" t="s">
        <v>37</v>
      </c>
      <c r="H133" s="30" t="s">
        <v>44</v>
      </c>
      <c r="I133" s="30" t="str">
        <f aca="false">IF(OR(E133="Ambas",Instruções!$C$5="",E133=Instruções!$C$5),"Sim","Não")</f>
        <v>Sim</v>
      </c>
      <c r="J133" s="32"/>
      <c r="K133" s="33"/>
      <c r="L133" s="33"/>
      <c r="M133" s="33"/>
      <c r="N133" s="34"/>
    </row>
    <row r="134" customFormat="false" ht="23.85" hidden="false" customHeight="false" outlineLevel="0" collapsed="false">
      <c r="A134" s="30" t="s">
        <v>436</v>
      </c>
      <c r="B134" s="31" t="s">
        <v>80</v>
      </c>
      <c r="C134" s="31" t="s">
        <v>203</v>
      </c>
      <c r="D134" s="31" t="s">
        <v>437</v>
      </c>
      <c r="E134" s="30" t="s">
        <v>104</v>
      </c>
      <c r="F134" s="31" t="s">
        <v>438</v>
      </c>
      <c r="G134" s="31" t="s">
        <v>41</v>
      </c>
      <c r="H134" s="30" t="s">
        <v>46</v>
      </c>
      <c r="I134" s="30" t="str">
        <f aca="false">IF(OR(E134="Ambas",Instruções!$C$5="",E134=Instruções!$C$5),"Sim","Não")</f>
        <v>Sim</v>
      </c>
      <c r="J134" s="32"/>
      <c r="K134" s="33"/>
      <c r="L134" s="33"/>
      <c r="M134" s="33"/>
      <c r="N134" s="34"/>
    </row>
    <row r="135" customFormat="false" ht="23.85" hidden="false" customHeight="false" outlineLevel="0" collapsed="false">
      <c r="A135" s="30" t="s">
        <v>439</v>
      </c>
      <c r="B135" s="31" t="s">
        <v>80</v>
      </c>
      <c r="C135" s="31" t="s">
        <v>41</v>
      </c>
      <c r="D135" s="31" t="s">
        <v>440</v>
      </c>
      <c r="E135" s="30" t="s">
        <v>104</v>
      </c>
      <c r="F135" s="31" t="s">
        <v>441</v>
      </c>
      <c r="G135" s="31" t="s">
        <v>41</v>
      </c>
      <c r="H135" s="30" t="s">
        <v>44</v>
      </c>
      <c r="I135" s="30" t="str">
        <f aca="false">IF(OR(E135="Ambas",Instruções!$C$5="",E135=Instruções!$C$5),"Sim","Não")</f>
        <v>Sim</v>
      </c>
      <c r="J135" s="32"/>
      <c r="K135" s="33"/>
      <c r="L135" s="33"/>
      <c r="M135" s="33"/>
      <c r="N135" s="34"/>
    </row>
    <row r="136" customFormat="false" ht="15" hidden="false" customHeight="false" outlineLevel="0" collapsed="false">
      <c r="A136" s="30" t="s">
        <v>442</v>
      </c>
      <c r="B136" s="31" t="s">
        <v>80</v>
      </c>
      <c r="C136" s="31" t="s">
        <v>41</v>
      </c>
      <c r="D136" s="31" t="s">
        <v>443</v>
      </c>
      <c r="E136" s="30" t="s">
        <v>104</v>
      </c>
      <c r="F136" s="31" t="s">
        <v>444</v>
      </c>
      <c r="G136" s="31" t="s">
        <v>41</v>
      </c>
      <c r="H136" s="30" t="s">
        <v>46</v>
      </c>
      <c r="I136" s="30" t="str">
        <f aca="false">IF(OR(E136="Ambas",Instruções!$C$5="",E136=Instruções!$C$5),"Sim","Não")</f>
        <v>Sim</v>
      </c>
      <c r="J136" s="32"/>
      <c r="K136" s="33"/>
      <c r="L136" s="33"/>
      <c r="M136" s="33"/>
      <c r="N136" s="34"/>
    </row>
    <row r="137" customFormat="false" ht="23.85" hidden="false" customHeight="false" outlineLevel="0" collapsed="false">
      <c r="A137" s="30" t="s">
        <v>445</v>
      </c>
      <c r="B137" s="31" t="s">
        <v>80</v>
      </c>
      <c r="C137" s="31" t="s">
        <v>41</v>
      </c>
      <c r="D137" s="31" t="s">
        <v>446</v>
      </c>
      <c r="E137" s="30" t="s">
        <v>104</v>
      </c>
      <c r="F137" s="31" t="s">
        <v>444</v>
      </c>
      <c r="G137" s="31" t="s">
        <v>41</v>
      </c>
      <c r="H137" s="30" t="s">
        <v>46</v>
      </c>
      <c r="I137" s="30" t="str">
        <f aca="false">IF(OR(E137="Ambas",Instruções!$C$5="",E137=Instruções!$C$5),"Sim","Não")</f>
        <v>Sim</v>
      </c>
      <c r="J137" s="32"/>
      <c r="K137" s="33"/>
      <c r="L137" s="33"/>
      <c r="M137" s="33"/>
      <c r="N137" s="34"/>
    </row>
    <row r="138" customFormat="false" ht="15" hidden="false" customHeight="false" outlineLevel="0" collapsed="false">
      <c r="A138" s="30" t="s">
        <v>447</v>
      </c>
      <c r="B138" s="31" t="s">
        <v>80</v>
      </c>
      <c r="C138" s="31" t="s">
        <v>41</v>
      </c>
      <c r="D138" s="31" t="s">
        <v>448</v>
      </c>
      <c r="E138" s="30" t="s">
        <v>104</v>
      </c>
      <c r="F138" s="31" t="s">
        <v>449</v>
      </c>
      <c r="G138" s="31" t="s">
        <v>41</v>
      </c>
      <c r="H138" s="30" t="s">
        <v>48</v>
      </c>
      <c r="I138" s="30" t="str">
        <f aca="false">IF(OR(E138="Ambas",Instruções!$C$5="",E138=Instruções!$C$5),"Sim","Não")</f>
        <v>Sim</v>
      </c>
      <c r="J138" s="32"/>
      <c r="K138" s="33"/>
      <c r="L138" s="33"/>
      <c r="M138" s="33"/>
      <c r="N138" s="34"/>
    </row>
    <row r="139" customFormat="false" ht="15" hidden="false" customHeight="false" outlineLevel="0" collapsed="false">
      <c r="A139" s="30" t="s">
        <v>450</v>
      </c>
      <c r="B139" s="31" t="s">
        <v>80</v>
      </c>
      <c r="C139" s="31" t="s">
        <v>371</v>
      </c>
      <c r="D139" s="31" t="s">
        <v>451</v>
      </c>
      <c r="E139" s="30" t="s">
        <v>104</v>
      </c>
      <c r="F139" s="31" t="s">
        <v>105</v>
      </c>
      <c r="G139" s="31" t="s">
        <v>37</v>
      </c>
      <c r="H139" s="30" t="s">
        <v>46</v>
      </c>
      <c r="I139" s="30" t="str">
        <f aca="false">IF(OR(E139="Ambas",Instruções!$C$5="",E139=Instruções!$C$5),"Sim","Não")</f>
        <v>Sim</v>
      </c>
      <c r="J139" s="32"/>
      <c r="K139" s="33"/>
      <c r="L139" s="33"/>
      <c r="M139" s="33"/>
      <c r="N139" s="34"/>
    </row>
    <row r="140" customFormat="false" ht="15" hidden="false" customHeight="false" outlineLevel="0" collapsed="false">
      <c r="A140" s="30" t="s">
        <v>452</v>
      </c>
      <c r="B140" s="31" t="s">
        <v>80</v>
      </c>
      <c r="C140" s="31" t="s">
        <v>453</v>
      </c>
      <c r="D140" s="31" t="s">
        <v>454</v>
      </c>
      <c r="E140" s="30" t="s">
        <v>114</v>
      </c>
      <c r="F140" s="31" t="s">
        <v>105</v>
      </c>
      <c r="G140" s="31" t="s">
        <v>37</v>
      </c>
      <c r="H140" s="30" t="s">
        <v>46</v>
      </c>
      <c r="I140" s="30" t="str">
        <f aca="false">IF(OR(E140="Ambas",Instruções!$C$5="",E140=Instruções!$C$5),"Sim","Não")</f>
        <v>Sim</v>
      </c>
      <c r="J140" s="32"/>
      <c r="K140" s="33"/>
      <c r="L140" s="33"/>
      <c r="M140" s="33"/>
      <c r="N140" s="34"/>
    </row>
    <row r="141" customFormat="false" ht="23.85" hidden="false" customHeight="false" outlineLevel="0" collapsed="false">
      <c r="A141" s="30" t="s">
        <v>455</v>
      </c>
      <c r="B141" s="31" t="s">
        <v>80</v>
      </c>
      <c r="C141" s="31" t="s">
        <v>453</v>
      </c>
      <c r="D141" s="31" t="s">
        <v>456</v>
      </c>
      <c r="E141" s="30" t="s">
        <v>104</v>
      </c>
      <c r="F141" s="31" t="s">
        <v>457</v>
      </c>
      <c r="G141" s="31" t="s">
        <v>41</v>
      </c>
      <c r="H141" s="30" t="s">
        <v>46</v>
      </c>
      <c r="I141" s="30" t="str">
        <f aca="false">IF(OR(E141="Ambas",Instruções!$C$5="",E141=Instruções!$C$5),"Sim","Não")</f>
        <v>Sim</v>
      </c>
      <c r="J141" s="32"/>
      <c r="K141" s="33"/>
      <c r="L141" s="33"/>
      <c r="M141" s="33"/>
      <c r="N141" s="34"/>
    </row>
    <row r="142" customFormat="false" ht="15" hidden="false" customHeight="false" outlineLevel="0" collapsed="false">
      <c r="A142" s="30" t="s">
        <v>458</v>
      </c>
      <c r="B142" s="31" t="s">
        <v>80</v>
      </c>
      <c r="C142" s="31" t="s">
        <v>459</v>
      </c>
      <c r="D142" s="31" t="s">
        <v>460</v>
      </c>
      <c r="E142" s="30" t="s">
        <v>141</v>
      </c>
      <c r="F142" s="31" t="s">
        <v>105</v>
      </c>
      <c r="G142" s="31" t="s">
        <v>37</v>
      </c>
      <c r="H142" s="30" t="s">
        <v>46</v>
      </c>
      <c r="I142" s="30" t="str">
        <f aca="false">IF(OR(E142="Ambas",Instruções!$C$5="",E142=Instruções!$C$5),"Sim","Não")</f>
        <v>Sim</v>
      </c>
      <c r="J142" s="32"/>
      <c r="K142" s="33"/>
      <c r="L142" s="33"/>
      <c r="M142" s="33"/>
      <c r="N142" s="34"/>
    </row>
    <row r="143" customFormat="false" ht="15" hidden="false" customHeight="false" outlineLevel="0" collapsed="false">
      <c r="A143" s="30" t="s">
        <v>461</v>
      </c>
      <c r="B143" s="31" t="s">
        <v>80</v>
      </c>
      <c r="C143" s="31" t="s">
        <v>462</v>
      </c>
      <c r="D143" s="31" t="s">
        <v>463</v>
      </c>
      <c r="E143" s="30" t="s">
        <v>104</v>
      </c>
      <c r="F143" s="31" t="s">
        <v>105</v>
      </c>
      <c r="G143" s="31" t="s">
        <v>37</v>
      </c>
      <c r="H143" s="30" t="s">
        <v>46</v>
      </c>
      <c r="I143" s="30" t="str">
        <f aca="false">IF(OR(E143="Ambas",Instruções!$C$5="",E143=Instruções!$C$5),"Sim","Não")</f>
        <v>Sim</v>
      </c>
      <c r="J143" s="32"/>
      <c r="K143" s="33"/>
      <c r="L143" s="33"/>
      <c r="M143" s="33"/>
      <c r="N143" s="34"/>
    </row>
    <row r="144" customFormat="false" ht="15" hidden="false" customHeight="false" outlineLevel="0" collapsed="false">
      <c r="A144" s="30" t="s">
        <v>464</v>
      </c>
      <c r="B144" s="31" t="s">
        <v>81</v>
      </c>
      <c r="C144" s="31" t="s">
        <v>465</v>
      </c>
      <c r="D144" s="31" t="s">
        <v>466</v>
      </c>
      <c r="E144" s="30" t="s">
        <v>114</v>
      </c>
      <c r="F144" s="31" t="s">
        <v>105</v>
      </c>
      <c r="G144" s="31" t="s">
        <v>37</v>
      </c>
      <c r="H144" s="30" t="s">
        <v>46</v>
      </c>
      <c r="I144" s="30" t="str">
        <f aca="false">IF(OR(E144="Ambas",Instruções!$C$5="",E144=Instruções!$C$5),"Sim","Não")</f>
        <v>Sim</v>
      </c>
      <c r="J144" s="32"/>
      <c r="K144" s="33"/>
      <c r="L144" s="33"/>
      <c r="M144" s="33"/>
      <c r="N144" s="34"/>
    </row>
    <row r="145" customFormat="false" ht="15" hidden="false" customHeight="false" outlineLevel="0" collapsed="false">
      <c r="A145" s="30" t="s">
        <v>467</v>
      </c>
      <c r="B145" s="31" t="s">
        <v>81</v>
      </c>
      <c r="C145" s="31" t="s">
        <v>465</v>
      </c>
      <c r="D145" s="31" t="s">
        <v>468</v>
      </c>
      <c r="E145" s="30" t="s">
        <v>104</v>
      </c>
      <c r="F145" s="31" t="s">
        <v>469</v>
      </c>
      <c r="G145" s="31" t="s">
        <v>41</v>
      </c>
      <c r="H145" s="30" t="s">
        <v>46</v>
      </c>
      <c r="I145" s="30" t="str">
        <f aca="false">IF(OR(E145="Ambas",Instruções!$C$5="",E145=Instruções!$C$5),"Sim","Não")</f>
        <v>Sim</v>
      </c>
      <c r="J145" s="32"/>
      <c r="K145" s="33"/>
      <c r="L145" s="33"/>
      <c r="M145" s="33"/>
      <c r="N145" s="34"/>
    </row>
    <row r="146" customFormat="false" ht="23.85" hidden="false" customHeight="false" outlineLevel="0" collapsed="false">
      <c r="A146" s="30" t="s">
        <v>470</v>
      </c>
      <c r="B146" s="31" t="s">
        <v>81</v>
      </c>
      <c r="C146" s="31" t="s">
        <v>203</v>
      </c>
      <c r="D146" s="31" t="s">
        <v>471</v>
      </c>
      <c r="E146" s="30" t="s">
        <v>104</v>
      </c>
      <c r="F146" s="31" t="s">
        <v>205</v>
      </c>
      <c r="G146" s="31" t="s">
        <v>37</v>
      </c>
      <c r="H146" s="30" t="s">
        <v>46</v>
      </c>
      <c r="I146" s="30" t="str">
        <f aca="false">IF(OR(E146="Ambas",Instruções!$C$5="",E146=Instruções!$C$5),"Sim","Não")</f>
        <v>Sim</v>
      </c>
      <c r="J146" s="32"/>
      <c r="K146" s="33"/>
      <c r="L146" s="33"/>
      <c r="M146" s="33"/>
      <c r="N146" s="34"/>
    </row>
    <row r="147" customFormat="false" ht="23.85" hidden="false" customHeight="false" outlineLevel="0" collapsed="false">
      <c r="A147" s="30" t="s">
        <v>472</v>
      </c>
      <c r="B147" s="31" t="s">
        <v>81</v>
      </c>
      <c r="C147" s="31" t="s">
        <v>473</v>
      </c>
      <c r="D147" s="31" t="s">
        <v>474</v>
      </c>
      <c r="E147" s="30" t="s">
        <v>104</v>
      </c>
      <c r="F147" s="31" t="s">
        <v>475</v>
      </c>
      <c r="G147" s="31" t="s">
        <v>41</v>
      </c>
      <c r="H147" s="30" t="s">
        <v>48</v>
      </c>
      <c r="I147" s="30" t="str">
        <f aca="false">IF(OR(E147="Ambas",Instruções!$C$5="",E147=Instruções!$C$5),"Sim","Não")</f>
        <v>Sim</v>
      </c>
      <c r="J147" s="32"/>
      <c r="K147" s="33"/>
      <c r="L147" s="33"/>
      <c r="M147" s="33"/>
      <c r="N147" s="34"/>
    </row>
    <row r="148" customFormat="false" ht="15" hidden="false" customHeight="false" outlineLevel="0" collapsed="false">
      <c r="A148" s="30" t="s">
        <v>476</v>
      </c>
      <c r="B148" s="31" t="s">
        <v>81</v>
      </c>
      <c r="C148" s="31" t="s">
        <v>462</v>
      </c>
      <c r="D148" s="31" t="s">
        <v>477</v>
      </c>
      <c r="E148" s="30" t="s">
        <v>104</v>
      </c>
      <c r="F148" s="31" t="s">
        <v>105</v>
      </c>
      <c r="G148" s="31" t="s">
        <v>37</v>
      </c>
      <c r="H148" s="30" t="s">
        <v>46</v>
      </c>
      <c r="I148" s="30" t="str">
        <f aca="false">IF(OR(E148="Ambas",Instruções!$C$5="",E148=Instruções!$C$5),"Sim","Não")</f>
        <v>Sim</v>
      </c>
      <c r="J148" s="32"/>
      <c r="K148" s="33"/>
      <c r="L148" s="33"/>
      <c r="M148" s="33"/>
      <c r="N148" s="34"/>
    </row>
    <row r="149" customFormat="false" ht="15" hidden="false" customHeight="false" outlineLevel="0" collapsed="false">
      <c r="A149" s="30" t="s">
        <v>478</v>
      </c>
      <c r="B149" s="31" t="s">
        <v>82</v>
      </c>
      <c r="C149" s="31" t="s">
        <v>479</v>
      </c>
      <c r="D149" s="31" t="s">
        <v>480</v>
      </c>
      <c r="E149" s="30" t="s">
        <v>104</v>
      </c>
      <c r="F149" s="31" t="s">
        <v>481</v>
      </c>
      <c r="G149" s="31" t="s">
        <v>41</v>
      </c>
      <c r="H149" s="30" t="s">
        <v>44</v>
      </c>
      <c r="I149" s="30" t="str">
        <f aca="false">IF(OR(E149="Ambas",Instruções!$C$5="",E149=Instruções!$C$5),"Sim","Não")</f>
        <v>Sim</v>
      </c>
      <c r="J149" s="32"/>
      <c r="K149" s="33"/>
      <c r="L149" s="33"/>
      <c r="M149" s="33"/>
      <c r="N149" s="34"/>
    </row>
    <row r="150" customFormat="false" ht="23.85" hidden="false" customHeight="false" outlineLevel="0" collapsed="false">
      <c r="A150" s="30" t="s">
        <v>482</v>
      </c>
      <c r="B150" s="31" t="s">
        <v>82</v>
      </c>
      <c r="C150" s="31" t="s">
        <v>345</v>
      </c>
      <c r="D150" s="31" t="s">
        <v>483</v>
      </c>
      <c r="E150" s="30" t="s">
        <v>104</v>
      </c>
      <c r="F150" s="31" t="s">
        <v>105</v>
      </c>
      <c r="G150" s="31" t="s">
        <v>37</v>
      </c>
      <c r="H150" s="30" t="s">
        <v>46</v>
      </c>
      <c r="I150" s="30" t="str">
        <f aca="false">IF(OR(E150="Ambas",Instruções!$C$5="",E150=Instruções!$C$5),"Sim","Não")</f>
        <v>Sim</v>
      </c>
      <c r="J150" s="32"/>
      <c r="K150" s="33"/>
      <c r="L150" s="33"/>
      <c r="M150" s="33"/>
      <c r="N150" s="34"/>
    </row>
    <row r="151" customFormat="false" ht="15" hidden="false" customHeight="false" outlineLevel="0" collapsed="false">
      <c r="A151" s="30" t="s">
        <v>484</v>
      </c>
      <c r="B151" s="31" t="s">
        <v>82</v>
      </c>
      <c r="C151" s="31" t="s">
        <v>348</v>
      </c>
      <c r="D151" s="31" t="s">
        <v>485</v>
      </c>
      <c r="E151" s="30" t="s">
        <v>104</v>
      </c>
      <c r="F151" s="31" t="s">
        <v>105</v>
      </c>
      <c r="G151" s="31" t="s">
        <v>37</v>
      </c>
      <c r="H151" s="30" t="s">
        <v>46</v>
      </c>
      <c r="I151" s="30" t="str">
        <f aca="false">IF(OR(E151="Ambas",Instruções!$C$5="",E151=Instruções!$C$5),"Sim","Não")</f>
        <v>Sim</v>
      </c>
      <c r="J151" s="32"/>
      <c r="K151" s="33"/>
      <c r="L151" s="33"/>
      <c r="M151" s="33"/>
      <c r="N151" s="34"/>
    </row>
    <row r="152" customFormat="false" ht="23.85" hidden="false" customHeight="false" outlineLevel="0" collapsed="false">
      <c r="A152" s="30" t="s">
        <v>486</v>
      </c>
      <c r="B152" s="31" t="s">
        <v>82</v>
      </c>
      <c r="C152" s="31" t="s">
        <v>487</v>
      </c>
      <c r="D152" s="31" t="s">
        <v>488</v>
      </c>
      <c r="E152" s="30" t="s">
        <v>104</v>
      </c>
      <c r="F152" s="31" t="s">
        <v>489</v>
      </c>
      <c r="G152" s="31" t="s">
        <v>41</v>
      </c>
      <c r="H152" s="30" t="s">
        <v>44</v>
      </c>
      <c r="I152" s="30" t="str">
        <f aca="false">IF(OR(E152="Ambas",Instruções!$C$5="",E152=Instruções!$C$5),"Sim","Não")</f>
        <v>Sim</v>
      </c>
      <c r="J152" s="32"/>
      <c r="K152" s="33"/>
      <c r="L152" s="33"/>
      <c r="M152" s="33"/>
      <c r="N152" s="34"/>
    </row>
    <row r="153" customFormat="false" ht="15" hidden="false" customHeight="false" outlineLevel="0" collapsed="false">
      <c r="A153" s="30" t="s">
        <v>490</v>
      </c>
      <c r="B153" s="31" t="s">
        <v>82</v>
      </c>
      <c r="C153" s="31" t="s">
        <v>462</v>
      </c>
      <c r="D153" s="31" t="s">
        <v>491</v>
      </c>
      <c r="E153" s="30" t="s">
        <v>104</v>
      </c>
      <c r="F153" s="31" t="s">
        <v>105</v>
      </c>
      <c r="G153" s="31" t="s">
        <v>37</v>
      </c>
      <c r="H153" s="30" t="s">
        <v>46</v>
      </c>
      <c r="I153" s="30" t="str">
        <f aca="false">IF(OR(E153="Ambas",Instruções!$C$5="",E153=Instruções!$C$5),"Sim","Não")</f>
        <v>Sim</v>
      </c>
      <c r="J153" s="32"/>
      <c r="K153" s="33"/>
      <c r="L153" s="33"/>
      <c r="M153" s="33"/>
      <c r="N153" s="34"/>
    </row>
    <row r="154" customFormat="false" ht="23.85" hidden="false" customHeight="false" outlineLevel="0" collapsed="false">
      <c r="A154" s="30" t="s">
        <v>492</v>
      </c>
      <c r="B154" s="31" t="s">
        <v>83</v>
      </c>
      <c r="C154" s="31" t="s">
        <v>493</v>
      </c>
      <c r="D154" s="31" t="s">
        <v>494</v>
      </c>
      <c r="E154" s="30" t="s">
        <v>104</v>
      </c>
      <c r="F154" s="31" t="s">
        <v>495</v>
      </c>
      <c r="G154" s="31" t="s">
        <v>41</v>
      </c>
      <c r="H154" s="30" t="s">
        <v>44</v>
      </c>
      <c r="I154" s="30" t="str">
        <f aca="false">IF(OR(E154="Ambas",Instruções!$C$5="",E154=Instruções!$C$5),"Sim","Não")</f>
        <v>Sim</v>
      </c>
      <c r="J154" s="32"/>
      <c r="K154" s="33"/>
      <c r="L154" s="33"/>
      <c r="M154" s="33"/>
      <c r="N154" s="34"/>
    </row>
    <row r="155" customFormat="false" ht="23.85" hidden="false" customHeight="false" outlineLevel="0" collapsed="false">
      <c r="A155" s="30" t="s">
        <v>496</v>
      </c>
      <c r="B155" s="31" t="s">
        <v>83</v>
      </c>
      <c r="C155" s="31" t="s">
        <v>487</v>
      </c>
      <c r="D155" s="31" t="s">
        <v>497</v>
      </c>
      <c r="E155" s="30" t="s">
        <v>104</v>
      </c>
      <c r="F155" s="31" t="s">
        <v>498</v>
      </c>
      <c r="G155" s="31" t="s">
        <v>41</v>
      </c>
      <c r="H155" s="30" t="s">
        <v>44</v>
      </c>
      <c r="I155" s="30" t="str">
        <f aca="false">IF(OR(E155="Ambas",Instruções!$C$5="",E155=Instruções!$C$5),"Sim","Não")</f>
        <v>Sim</v>
      </c>
      <c r="J155" s="32"/>
      <c r="K155" s="33"/>
      <c r="L155" s="33"/>
      <c r="M155" s="33"/>
      <c r="N155" s="34"/>
    </row>
    <row r="156" customFormat="false" ht="15" hidden="false" customHeight="false" outlineLevel="0" collapsed="false">
      <c r="A156" s="30" t="s">
        <v>499</v>
      </c>
      <c r="B156" s="31" t="s">
        <v>83</v>
      </c>
      <c r="C156" s="31" t="s">
        <v>487</v>
      </c>
      <c r="D156" s="31" t="s">
        <v>500</v>
      </c>
      <c r="E156" s="30" t="s">
        <v>104</v>
      </c>
      <c r="F156" s="31" t="s">
        <v>105</v>
      </c>
      <c r="G156" s="31" t="s">
        <v>37</v>
      </c>
      <c r="H156" s="30" t="s">
        <v>46</v>
      </c>
      <c r="I156" s="30" t="str">
        <f aca="false">IF(OR(E156="Ambas",Instruções!$C$5="",E156=Instruções!$C$5),"Sim","Não")</f>
        <v>Sim</v>
      </c>
      <c r="J156" s="32"/>
      <c r="K156" s="33"/>
      <c r="L156" s="33"/>
      <c r="M156" s="33"/>
      <c r="N156" s="34"/>
    </row>
    <row r="157" customFormat="false" ht="15" hidden="false" customHeight="false" outlineLevel="0" collapsed="false">
      <c r="A157" s="30" t="s">
        <v>501</v>
      </c>
      <c r="B157" s="31" t="s">
        <v>83</v>
      </c>
      <c r="C157" s="31" t="s">
        <v>487</v>
      </c>
      <c r="D157" s="31" t="s">
        <v>502</v>
      </c>
      <c r="E157" s="30" t="s">
        <v>104</v>
      </c>
      <c r="F157" s="31" t="s">
        <v>105</v>
      </c>
      <c r="G157" s="31" t="s">
        <v>37</v>
      </c>
      <c r="H157" s="30" t="s">
        <v>46</v>
      </c>
      <c r="I157" s="30" t="str">
        <f aca="false">IF(OR(E157="Ambas",Instruções!$C$5="",E157=Instruções!$C$5),"Sim","Não")</f>
        <v>Sim</v>
      </c>
      <c r="J157" s="32"/>
      <c r="K157" s="33"/>
      <c r="L157" s="33"/>
      <c r="M157" s="33"/>
      <c r="N157" s="34"/>
    </row>
    <row r="158" customFormat="false" ht="15" hidden="false" customHeight="false" outlineLevel="0" collapsed="false">
      <c r="A158" s="30" t="s">
        <v>503</v>
      </c>
      <c r="B158" s="31" t="s">
        <v>83</v>
      </c>
      <c r="C158" s="31" t="s">
        <v>487</v>
      </c>
      <c r="D158" s="31" t="s">
        <v>504</v>
      </c>
      <c r="E158" s="30" t="s">
        <v>104</v>
      </c>
      <c r="F158" s="31" t="s">
        <v>498</v>
      </c>
      <c r="G158" s="31" t="s">
        <v>41</v>
      </c>
      <c r="H158" s="30" t="s">
        <v>48</v>
      </c>
      <c r="I158" s="30" t="str">
        <f aca="false">IF(OR(E158="Ambas",Instruções!$C$5="",E158=Instruções!$C$5),"Sim","Não")</f>
        <v>Sim</v>
      </c>
      <c r="J158" s="32"/>
      <c r="K158" s="33"/>
      <c r="L158" s="33"/>
      <c r="M158" s="33"/>
      <c r="N158" s="34"/>
    </row>
    <row r="159" customFormat="false" ht="23.85" hidden="false" customHeight="false" outlineLevel="0" collapsed="false">
      <c r="A159" s="30" t="s">
        <v>505</v>
      </c>
      <c r="B159" s="31" t="s">
        <v>83</v>
      </c>
      <c r="C159" s="31" t="s">
        <v>41</v>
      </c>
      <c r="D159" s="31" t="s">
        <v>506</v>
      </c>
      <c r="E159" s="30" t="s">
        <v>104</v>
      </c>
      <c r="F159" s="31" t="s">
        <v>507</v>
      </c>
      <c r="G159" s="31" t="s">
        <v>41</v>
      </c>
      <c r="H159" s="30" t="s">
        <v>44</v>
      </c>
      <c r="I159" s="30" t="str">
        <f aca="false">IF(OR(E159="Ambas",Instruções!$C$5="",E159=Instruções!$C$5),"Sim","Não")</f>
        <v>Sim</v>
      </c>
      <c r="J159" s="32"/>
      <c r="K159" s="33"/>
      <c r="L159" s="33"/>
      <c r="M159" s="33"/>
      <c r="N159" s="34"/>
    </row>
    <row r="160" customFormat="false" ht="23.85" hidden="false" customHeight="false" outlineLevel="0" collapsed="false">
      <c r="A160" s="30" t="s">
        <v>508</v>
      </c>
      <c r="B160" s="31" t="s">
        <v>83</v>
      </c>
      <c r="C160" s="31" t="s">
        <v>41</v>
      </c>
      <c r="D160" s="31" t="s">
        <v>509</v>
      </c>
      <c r="E160" s="30" t="s">
        <v>104</v>
      </c>
      <c r="F160" s="31" t="s">
        <v>510</v>
      </c>
      <c r="G160" s="31" t="s">
        <v>41</v>
      </c>
      <c r="H160" s="30" t="s">
        <v>46</v>
      </c>
      <c r="I160" s="30" t="str">
        <f aca="false">IF(OR(E160="Ambas",Instruções!$C$5="",E160=Instruções!$C$5),"Sim","Não")</f>
        <v>Sim</v>
      </c>
      <c r="J160" s="32"/>
      <c r="K160" s="33"/>
      <c r="L160" s="33"/>
      <c r="M160" s="33"/>
      <c r="N160" s="34"/>
    </row>
    <row r="161" customFormat="false" ht="15" hidden="false" customHeight="false" outlineLevel="0" collapsed="false">
      <c r="A161" s="30" t="s">
        <v>511</v>
      </c>
      <c r="B161" s="31" t="s">
        <v>83</v>
      </c>
      <c r="C161" s="31" t="s">
        <v>41</v>
      </c>
      <c r="D161" s="31" t="s">
        <v>512</v>
      </c>
      <c r="E161" s="30" t="s">
        <v>104</v>
      </c>
      <c r="F161" s="31" t="s">
        <v>513</v>
      </c>
      <c r="G161" s="31" t="s">
        <v>41</v>
      </c>
      <c r="H161" s="30" t="s">
        <v>46</v>
      </c>
      <c r="I161" s="30" t="str">
        <f aca="false">IF(OR(E161="Ambas",Instruções!$C$5="",E161=Instruções!$C$5),"Sim","Não")</f>
        <v>Sim</v>
      </c>
      <c r="J161" s="32"/>
      <c r="K161" s="33"/>
      <c r="L161" s="33"/>
      <c r="M161" s="33"/>
      <c r="N161" s="34"/>
    </row>
    <row r="162" customFormat="false" ht="23.85" hidden="false" customHeight="false" outlineLevel="0" collapsed="false">
      <c r="A162" s="30" t="s">
        <v>514</v>
      </c>
      <c r="B162" s="31" t="s">
        <v>83</v>
      </c>
      <c r="C162" s="31" t="s">
        <v>41</v>
      </c>
      <c r="D162" s="31" t="s">
        <v>515</v>
      </c>
      <c r="E162" s="30" t="s">
        <v>104</v>
      </c>
      <c r="F162" s="31" t="s">
        <v>498</v>
      </c>
      <c r="G162" s="31" t="s">
        <v>41</v>
      </c>
      <c r="H162" s="30" t="s">
        <v>44</v>
      </c>
      <c r="I162" s="30" t="str">
        <f aca="false">IF(OR(E162="Ambas",Instruções!$C$5="",E162=Instruções!$C$5),"Sim","Não")</f>
        <v>Sim</v>
      </c>
      <c r="J162" s="32"/>
      <c r="K162" s="33"/>
      <c r="L162" s="33"/>
      <c r="M162" s="33"/>
      <c r="N162" s="34"/>
    </row>
    <row r="163" customFormat="false" ht="15" hidden="false" customHeight="false" outlineLevel="0" collapsed="false">
      <c r="A163" s="30" t="s">
        <v>516</v>
      </c>
      <c r="B163" s="31" t="s">
        <v>83</v>
      </c>
      <c r="C163" s="31" t="s">
        <v>244</v>
      </c>
      <c r="D163" s="31" t="s">
        <v>517</v>
      </c>
      <c r="E163" s="30" t="s">
        <v>104</v>
      </c>
      <c r="F163" s="31" t="s">
        <v>105</v>
      </c>
      <c r="G163" s="31" t="s">
        <v>37</v>
      </c>
      <c r="H163" s="30" t="s">
        <v>48</v>
      </c>
      <c r="I163" s="30" t="str">
        <f aca="false">IF(OR(E163="Ambas",Instruções!$C$5="",E163=Instruções!$C$5),"Sim","Não")</f>
        <v>Sim</v>
      </c>
      <c r="J163" s="32"/>
      <c r="K163" s="33"/>
      <c r="L163" s="33"/>
      <c r="M163" s="33"/>
      <c r="N163" s="34"/>
    </row>
    <row r="164" customFormat="false" ht="15" hidden="false" customHeight="false" outlineLevel="0" collapsed="false">
      <c r="A164" s="30" t="s">
        <v>518</v>
      </c>
      <c r="B164" s="31" t="s">
        <v>83</v>
      </c>
      <c r="C164" s="31" t="s">
        <v>374</v>
      </c>
      <c r="D164" s="31" t="s">
        <v>519</v>
      </c>
      <c r="E164" s="30" t="s">
        <v>104</v>
      </c>
      <c r="F164" s="31" t="s">
        <v>105</v>
      </c>
      <c r="G164" s="31" t="s">
        <v>37</v>
      </c>
      <c r="H164" s="30" t="s">
        <v>48</v>
      </c>
      <c r="I164" s="30" t="str">
        <f aca="false">IF(OR(E164="Ambas",Instruções!$C$5="",E164=Instruções!$C$5),"Sim","Não")</f>
        <v>Sim</v>
      </c>
      <c r="J164" s="32"/>
      <c r="K164" s="33"/>
      <c r="L164" s="33"/>
      <c r="M164" s="33"/>
      <c r="N164" s="34"/>
    </row>
    <row r="165" customFormat="false" ht="23.85" hidden="false" customHeight="false" outlineLevel="0" collapsed="false">
      <c r="A165" s="30" t="s">
        <v>520</v>
      </c>
      <c r="B165" s="31" t="s">
        <v>84</v>
      </c>
      <c r="C165" s="31" t="s">
        <v>521</v>
      </c>
      <c r="D165" s="31" t="s">
        <v>522</v>
      </c>
      <c r="E165" s="30" t="s">
        <v>104</v>
      </c>
      <c r="F165" s="31" t="s">
        <v>523</v>
      </c>
      <c r="G165" s="31" t="s">
        <v>41</v>
      </c>
      <c r="H165" s="30" t="s">
        <v>44</v>
      </c>
      <c r="I165" s="30" t="str">
        <f aca="false">IF(OR(E165="Ambas",Instruções!$C$5="",E165=Instruções!$C$5),"Sim","Não")</f>
        <v>Sim</v>
      </c>
      <c r="J165" s="32"/>
      <c r="K165" s="33"/>
      <c r="L165" s="33"/>
      <c r="M165" s="33"/>
      <c r="N165" s="34"/>
    </row>
    <row r="166" customFormat="false" ht="15" hidden="false" customHeight="false" outlineLevel="0" collapsed="false">
      <c r="A166" s="30" t="s">
        <v>524</v>
      </c>
      <c r="B166" s="31" t="s">
        <v>84</v>
      </c>
      <c r="C166" s="31" t="s">
        <v>521</v>
      </c>
      <c r="D166" s="31" t="s">
        <v>525</v>
      </c>
      <c r="E166" s="30" t="s">
        <v>104</v>
      </c>
      <c r="F166" s="31" t="s">
        <v>526</v>
      </c>
      <c r="G166" s="31" t="s">
        <v>41</v>
      </c>
      <c r="H166" s="30" t="s">
        <v>44</v>
      </c>
      <c r="I166" s="30" t="str">
        <f aca="false">IF(OR(E166="Ambas",Instruções!$C$5="",E166=Instruções!$C$5),"Sim","Não")</f>
        <v>Sim</v>
      </c>
      <c r="J166" s="32"/>
      <c r="K166" s="33"/>
      <c r="L166" s="33"/>
      <c r="M166" s="33"/>
      <c r="N166" s="34"/>
    </row>
    <row r="167" customFormat="false" ht="23.85" hidden="false" customHeight="false" outlineLevel="0" collapsed="false">
      <c r="A167" s="30" t="s">
        <v>527</v>
      </c>
      <c r="B167" s="31" t="s">
        <v>84</v>
      </c>
      <c r="C167" s="31" t="s">
        <v>521</v>
      </c>
      <c r="D167" s="31" t="s">
        <v>528</v>
      </c>
      <c r="E167" s="30" t="s">
        <v>104</v>
      </c>
      <c r="F167" s="31" t="s">
        <v>105</v>
      </c>
      <c r="G167" s="31" t="s">
        <v>37</v>
      </c>
      <c r="H167" s="30" t="s">
        <v>46</v>
      </c>
      <c r="I167" s="30" t="str">
        <f aca="false">IF(OR(E167="Ambas",Instruções!$C$5="",E167=Instruções!$C$5),"Sim","Não")</f>
        <v>Sim</v>
      </c>
      <c r="J167" s="32"/>
      <c r="K167" s="33"/>
      <c r="L167" s="33"/>
      <c r="M167" s="33"/>
      <c r="N167" s="34"/>
    </row>
    <row r="168" customFormat="false" ht="15" hidden="false" customHeight="false" outlineLevel="0" collapsed="false">
      <c r="A168" s="30" t="s">
        <v>529</v>
      </c>
      <c r="B168" s="31" t="s">
        <v>84</v>
      </c>
      <c r="C168" s="31" t="s">
        <v>304</v>
      </c>
      <c r="D168" s="31" t="s">
        <v>530</v>
      </c>
      <c r="E168" s="30" t="s">
        <v>104</v>
      </c>
      <c r="F168" s="31" t="s">
        <v>523</v>
      </c>
      <c r="G168" s="31" t="s">
        <v>41</v>
      </c>
      <c r="H168" s="30" t="s">
        <v>46</v>
      </c>
      <c r="I168" s="30" t="str">
        <f aca="false">IF(OR(E168="Ambas",Instruções!$C$5="",E168=Instruções!$C$5),"Sim","Não")</f>
        <v>Sim</v>
      </c>
      <c r="J168" s="32"/>
      <c r="K168" s="33"/>
      <c r="L168" s="33"/>
      <c r="M168" s="33"/>
      <c r="N168" s="34"/>
    </row>
    <row r="169" customFormat="false" ht="23.85" hidden="false" customHeight="false" outlineLevel="0" collapsed="false">
      <c r="A169" s="30" t="s">
        <v>531</v>
      </c>
      <c r="B169" s="31" t="s">
        <v>84</v>
      </c>
      <c r="C169" s="31" t="s">
        <v>532</v>
      </c>
      <c r="D169" s="31" t="s">
        <v>533</v>
      </c>
      <c r="E169" s="30" t="s">
        <v>104</v>
      </c>
      <c r="F169" s="31" t="s">
        <v>534</v>
      </c>
      <c r="G169" s="31" t="s">
        <v>41</v>
      </c>
      <c r="H169" s="30" t="s">
        <v>44</v>
      </c>
      <c r="I169" s="30" t="str">
        <f aca="false">IF(OR(E169="Ambas",Instruções!$C$5="",E169=Instruções!$C$5),"Sim","Não")</f>
        <v>Sim</v>
      </c>
      <c r="J169" s="32"/>
      <c r="K169" s="33"/>
      <c r="L169" s="33"/>
      <c r="M169" s="33"/>
      <c r="N169" s="34"/>
    </row>
    <row r="170" customFormat="false" ht="15" hidden="false" customHeight="false" outlineLevel="0" collapsed="false">
      <c r="A170" s="30" t="s">
        <v>535</v>
      </c>
      <c r="B170" s="31" t="s">
        <v>84</v>
      </c>
      <c r="C170" s="31" t="s">
        <v>462</v>
      </c>
      <c r="D170" s="31" t="s">
        <v>536</v>
      </c>
      <c r="E170" s="30" t="s">
        <v>104</v>
      </c>
      <c r="F170" s="31" t="s">
        <v>105</v>
      </c>
      <c r="G170" s="31" t="s">
        <v>37</v>
      </c>
      <c r="H170" s="30" t="s">
        <v>48</v>
      </c>
      <c r="I170" s="30" t="str">
        <f aca="false">IF(OR(E170="Ambas",Instruções!$C$5="",E170=Instruções!$C$5),"Sim","Não")</f>
        <v>Sim</v>
      </c>
      <c r="J170" s="32"/>
      <c r="K170" s="33"/>
      <c r="L170" s="33"/>
      <c r="M170" s="33"/>
      <c r="N170" s="34"/>
    </row>
    <row r="171" customFormat="false" ht="15" hidden="false" customHeight="false" outlineLevel="0" collapsed="false">
      <c r="A171" s="30" t="s">
        <v>537</v>
      </c>
      <c r="B171" s="31" t="s">
        <v>84</v>
      </c>
      <c r="C171" s="31" t="s">
        <v>462</v>
      </c>
      <c r="D171" s="31" t="s">
        <v>538</v>
      </c>
      <c r="E171" s="30" t="s">
        <v>104</v>
      </c>
      <c r="F171" s="31" t="s">
        <v>105</v>
      </c>
      <c r="G171" s="31" t="s">
        <v>37</v>
      </c>
      <c r="H171" s="30" t="s">
        <v>48</v>
      </c>
      <c r="I171" s="30" t="str">
        <f aca="false">IF(OR(E171="Ambas",Instruções!$C$5="",E171=Instruções!$C$5),"Sim","Não")</f>
        <v>Sim</v>
      </c>
      <c r="J171" s="32"/>
      <c r="K171" s="33"/>
      <c r="L171" s="33"/>
      <c r="M171" s="33"/>
      <c r="N171" s="34"/>
    </row>
    <row r="172" customFormat="false" ht="23.85" hidden="false" customHeight="false" outlineLevel="0" collapsed="false">
      <c r="A172" s="30" t="s">
        <v>539</v>
      </c>
      <c r="B172" s="31" t="s">
        <v>85</v>
      </c>
      <c r="C172" s="31" t="s">
        <v>521</v>
      </c>
      <c r="D172" s="31" t="s">
        <v>540</v>
      </c>
      <c r="E172" s="30" t="s">
        <v>104</v>
      </c>
      <c r="F172" s="31" t="s">
        <v>541</v>
      </c>
      <c r="G172" s="31" t="s">
        <v>41</v>
      </c>
      <c r="H172" s="30" t="s">
        <v>46</v>
      </c>
      <c r="I172" s="30" t="str">
        <f aca="false">IF(OR(E172="Ambas",Instruções!$C$5="",E172=Instruções!$C$5),"Sim","Não")</f>
        <v>Sim</v>
      </c>
      <c r="J172" s="32"/>
      <c r="K172" s="33"/>
      <c r="L172" s="33"/>
      <c r="M172" s="33"/>
      <c r="N172" s="34"/>
    </row>
    <row r="173" customFormat="false" ht="15" hidden="false" customHeight="false" outlineLevel="0" collapsed="false">
      <c r="A173" s="30" t="s">
        <v>542</v>
      </c>
      <c r="B173" s="31" t="s">
        <v>85</v>
      </c>
      <c r="C173" s="31" t="s">
        <v>521</v>
      </c>
      <c r="D173" s="31" t="s">
        <v>543</v>
      </c>
      <c r="E173" s="30" t="s">
        <v>104</v>
      </c>
      <c r="F173" s="31" t="s">
        <v>541</v>
      </c>
      <c r="G173" s="31" t="s">
        <v>41</v>
      </c>
      <c r="H173" s="30" t="s">
        <v>46</v>
      </c>
      <c r="I173" s="30" t="str">
        <f aca="false">IF(OR(E173="Ambas",Instruções!$C$5="",E173=Instruções!$C$5),"Sim","Não")</f>
        <v>Sim</v>
      </c>
      <c r="J173" s="32"/>
      <c r="K173" s="33"/>
      <c r="L173" s="33"/>
      <c r="M173" s="33"/>
      <c r="N173" s="34"/>
    </row>
    <row r="174" customFormat="false" ht="15" hidden="false" customHeight="false" outlineLevel="0" collapsed="false">
      <c r="A174" s="30" t="s">
        <v>544</v>
      </c>
      <c r="B174" s="31" t="s">
        <v>85</v>
      </c>
      <c r="C174" s="31" t="s">
        <v>521</v>
      </c>
      <c r="D174" s="31" t="s">
        <v>545</v>
      </c>
      <c r="E174" s="30" t="s">
        <v>104</v>
      </c>
      <c r="F174" s="31" t="s">
        <v>541</v>
      </c>
      <c r="G174" s="31" t="s">
        <v>41</v>
      </c>
      <c r="H174" s="30" t="s">
        <v>48</v>
      </c>
      <c r="I174" s="30" t="str">
        <f aca="false">IF(OR(E174="Ambas",Instruções!$C$5="",E174=Instruções!$C$5),"Sim","Não")</f>
        <v>Sim</v>
      </c>
      <c r="J174" s="32"/>
      <c r="K174" s="33"/>
      <c r="L174" s="33"/>
      <c r="M174" s="33"/>
      <c r="N174" s="34"/>
    </row>
    <row r="175" customFormat="false" ht="23.85" hidden="false" customHeight="false" outlineLevel="0" collapsed="false">
      <c r="A175" s="30" t="s">
        <v>546</v>
      </c>
      <c r="B175" s="31" t="s">
        <v>85</v>
      </c>
      <c r="C175" s="31" t="s">
        <v>365</v>
      </c>
      <c r="D175" s="31" t="s">
        <v>547</v>
      </c>
      <c r="E175" s="30" t="s">
        <v>104</v>
      </c>
      <c r="F175" s="31" t="s">
        <v>548</v>
      </c>
      <c r="G175" s="31" t="s">
        <v>41</v>
      </c>
      <c r="H175" s="30" t="s">
        <v>46</v>
      </c>
      <c r="I175" s="30" t="str">
        <f aca="false">IF(OR(E175="Ambas",Instruções!$C$5="",E175=Instruções!$C$5),"Sim","Não")</f>
        <v>Sim</v>
      </c>
      <c r="J175" s="32"/>
      <c r="K175" s="33"/>
      <c r="L175" s="33"/>
      <c r="M175" s="33"/>
      <c r="N175" s="34"/>
    </row>
    <row r="176" customFormat="false" ht="15" hidden="false" customHeight="false" outlineLevel="0" collapsed="false">
      <c r="A176" s="30" t="s">
        <v>549</v>
      </c>
      <c r="B176" s="31" t="s">
        <v>85</v>
      </c>
      <c r="C176" s="31" t="s">
        <v>374</v>
      </c>
      <c r="D176" s="31" t="s">
        <v>550</v>
      </c>
      <c r="E176" s="30" t="s">
        <v>104</v>
      </c>
      <c r="F176" s="31" t="s">
        <v>105</v>
      </c>
      <c r="G176" s="31" t="s">
        <v>37</v>
      </c>
      <c r="H176" s="30" t="s">
        <v>48</v>
      </c>
      <c r="I176" s="30" t="str">
        <f aca="false">IF(OR(E176="Ambas",Instruções!$C$5="",E176=Instruções!$C$5),"Sim","Não")</f>
        <v>Sim</v>
      </c>
      <c r="J176" s="32"/>
      <c r="K176" s="33"/>
      <c r="L176" s="33"/>
      <c r="M176" s="33"/>
      <c r="N176" s="34"/>
    </row>
    <row r="177" customFormat="false" ht="23.85" hidden="false" customHeight="false" outlineLevel="0" collapsed="false">
      <c r="A177" s="30" t="s">
        <v>551</v>
      </c>
      <c r="B177" s="31" t="s">
        <v>86</v>
      </c>
      <c r="C177" s="31" t="s">
        <v>552</v>
      </c>
      <c r="D177" s="31" t="s">
        <v>553</v>
      </c>
      <c r="E177" s="30" t="s">
        <v>104</v>
      </c>
      <c r="F177" s="31" t="s">
        <v>86</v>
      </c>
      <c r="G177" s="31" t="s">
        <v>39</v>
      </c>
      <c r="H177" s="30" t="s">
        <v>46</v>
      </c>
      <c r="I177" s="30" t="str">
        <f aca="false">IF(OR(E177="Ambas",Instruções!$C$5="",E177=Instruções!$C$5),"Sim","Não")</f>
        <v>Sim</v>
      </c>
      <c r="J177" s="32"/>
      <c r="K177" s="33"/>
      <c r="L177" s="33"/>
      <c r="M177" s="33"/>
      <c r="N177" s="34"/>
    </row>
    <row r="178" customFormat="false" ht="15" hidden="false" customHeight="false" outlineLevel="0" collapsed="false">
      <c r="A178" s="30" t="s">
        <v>554</v>
      </c>
      <c r="B178" s="31" t="s">
        <v>86</v>
      </c>
      <c r="C178" s="31" t="s">
        <v>555</v>
      </c>
      <c r="D178" s="31" t="s">
        <v>556</v>
      </c>
      <c r="E178" s="30" t="s">
        <v>104</v>
      </c>
      <c r="F178" s="31" t="s">
        <v>557</v>
      </c>
      <c r="G178" s="31" t="s">
        <v>41</v>
      </c>
      <c r="H178" s="30" t="s">
        <v>46</v>
      </c>
      <c r="I178" s="30" t="str">
        <f aca="false">IF(OR(E178="Ambas",Instruções!$C$5="",E178=Instruções!$C$5),"Sim","Não")</f>
        <v>Sim</v>
      </c>
      <c r="J178" s="32"/>
      <c r="K178" s="33"/>
      <c r="L178" s="33"/>
      <c r="M178" s="33"/>
      <c r="N178" s="34"/>
    </row>
    <row r="179" customFormat="false" ht="15" hidden="false" customHeight="false" outlineLevel="0" collapsed="false">
      <c r="A179" s="30" t="s">
        <v>558</v>
      </c>
      <c r="B179" s="31" t="s">
        <v>86</v>
      </c>
      <c r="C179" s="31" t="s">
        <v>199</v>
      </c>
      <c r="D179" s="31" t="s">
        <v>559</v>
      </c>
      <c r="E179" s="30" t="s">
        <v>104</v>
      </c>
      <c r="F179" s="31" t="s">
        <v>557</v>
      </c>
      <c r="G179" s="31" t="s">
        <v>41</v>
      </c>
      <c r="H179" s="30" t="s">
        <v>46</v>
      </c>
      <c r="I179" s="30" t="str">
        <f aca="false">IF(OR(E179="Ambas",Instruções!$C$5="",E179=Instruções!$C$5),"Sim","Não")</f>
        <v>Sim</v>
      </c>
      <c r="J179" s="32"/>
      <c r="K179" s="33"/>
      <c r="L179" s="33"/>
      <c r="M179" s="33"/>
      <c r="N179" s="34"/>
    </row>
    <row r="180" customFormat="false" ht="23.85" hidden="false" customHeight="false" outlineLevel="0" collapsed="false">
      <c r="A180" s="30" t="s">
        <v>560</v>
      </c>
      <c r="B180" s="31" t="s">
        <v>86</v>
      </c>
      <c r="C180" s="31" t="s">
        <v>365</v>
      </c>
      <c r="D180" s="31" t="s">
        <v>561</v>
      </c>
      <c r="E180" s="30" t="s">
        <v>104</v>
      </c>
      <c r="F180" s="31" t="s">
        <v>105</v>
      </c>
      <c r="G180" s="31" t="s">
        <v>37</v>
      </c>
      <c r="H180" s="30" t="s">
        <v>48</v>
      </c>
      <c r="I180" s="30" t="str">
        <f aca="false">IF(OR(E180="Ambas",Instruções!$C$5="",E180=Instruções!$C$5),"Sim","Não")</f>
        <v>Sim</v>
      </c>
      <c r="J180" s="32"/>
      <c r="K180" s="33"/>
      <c r="L180" s="33"/>
      <c r="M180" s="33"/>
      <c r="N180" s="34"/>
    </row>
    <row r="181" customFormat="false" ht="15" hidden="false" customHeight="false" outlineLevel="0" collapsed="false">
      <c r="A181" s="30" t="s">
        <v>562</v>
      </c>
      <c r="B181" s="31" t="s">
        <v>86</v>
      </c>
      <c r="C181" s="31" t="s">
        <v>365</v>
      </c>
      <c r="D181" s="31" t="s">
        <v>563</v>
      </c>
      <c r="E181" s="30" t="s">
        <v>104</v>
      </c>
      <c r="F181" s="31" t="s">
        <v>105</v>
      </c>
      <c r="G181" s="31" t="s">
        <v>37</v>
      </c>
      <c r="H181" s="30" t="s">
        <v>48</v>
      </c>
      <c r="I181" s="30" t="str">
        <f aca="false">IF(OR(E181="Ambas",Instruções!$C$5="",E181=Instruções!$C$5),"Sim","Não")</f>
        <v>Sim</v>
      </c>
      <c r="J181" s="32"/>
      <c r="K181" s="33"/>
      <c r="L181" s="33"/>
      <c r="M181" s="33"/>
      <c r="N181" s="34"/>
    </row>
    <row r="182" customFormat="false" ht="23.85" hidden="false" customHeight="false" outlineLevel="0" collapsed="false">
      <c r="A182" s="30" t="s">
        <v>564</v>
      </c>
      <c r="B182" s="31" t="s">
        <v>87</v>
      </c>
      <c r="C182" s="31" t="s">
        <v>565</v>
      </c>
      <c r="D182" s="31" t="s">
        <v>566</v>
      </c>
      <c r="E182" s="30" t="s">
        <v>114</v>
      </c>
      <c r="F182" s="31" t="s">
        <v>105</v>
      </c>
      <c r="G182" s="31" t="s">
        <v>37</v>
      </c>
      <c r="H182" s="30" t="s">
        <v>46</v>
      </c>
      <c r="I182" s="30" t="str">
        <f aca="false">IF(OR(E182="Ambas",Instruções!$C$5="",E182=Instruções!$C$5),"Sim","Não")</f>
        <v>Sim</v>
      </c>
      <c r="J182" s="32"/>
      <c r="K182" s="33"/>
      <c r="L182" s="33"/>
      <c r="M182" s="33"/>
      <c r="N182" s="34"/>
    </row>
    <row r="183" customFormat="false" ht="15" hidden="false" customHeight="false" outlineLevel="0" collapsed="false">
      <c r="A183" s="30" t="s">
        <v>567</v>
      </c>
      <c r="B183" s="31" t="s">
        <v>87</v>
      </c>
      <c r="C183" s="31" t="s">
        <v>565</v>
      </c>
      <c r="D183" s="31" t="s">
        <v>568</v>
      </c>
      <c r="E183" s="30" t="s">
        <v>114</v>
      </c>
      <c r="F183" s="31" t="s">
        <v>105</v>
      </c>
      <c r="G183" s="31" t="s">
        <v>37</v>
      </c>
      <c r="H183" s="30" t="s">
        <v>46</v>
      </c>
      <c r="I183" s="30" t="str">
        <f aca="false">IF(OR(E183="Ambas",Instruções!$C$5="",E183=Instruções!$C$5),"Sim","Não")</f>
        <v>Sim</v>
      </c>
      <c r="J183" s="32"/>
      <c r="K183" s="33"/>
      <c r="L183" s="33"/>
      <c r="M183" s="33"/>
      <c r="N183" s="34"/>
    </row>
    <row r="184" customFormat="false" ht="15" hidden="false" customHeight="false" outlineLevel="0" collapsed="false">
      <c r="A184" s="30" t="s">
        <v>569</v>
      </c>
      <c r="B184" s="31" t="s">
        <v>87</v>
      </c>
      <c r="C184" s="31" t="s">
        <v>570</v>
      </c>
      <c r="D184" s="31" t="s">
        <v>571</v>
      </c>
      <c r="E184" s="30" t="s">
        <v>114</v>
      </c>
      <c r="F184" s="31" t="s">
        <v>105</v>
      </c>
      <c r="G184" s="31" t="s">
        <v>37</v>
      </c>
      <c r="H184" s="30" t="s">
        <v>46</v>
      </c>
      <c r="I184" s="30" t="str">
        <f aca="false">IF(OR(E184="Ambas",Instruções!$C$5="",E184=Instruções!$C$5),"Sim","Não")</f>
        <v>Sim</v>
      </c>
      <c r="J184" s="32"/>
      <c r="K184" s="33"/>
      <c r="L184" s="33"/>
      <c r="M184" s="33"/>
      <c r="N184" s="34"/>
    </row>
    <row r="185" customFormat="false" ht="15" hidden="false" customHeight="false" outlineLevel="0" collapsed="false">
      <c r="A185" s="30" t="s">
        <v>572</v>
      </c>
      <c r="B185" s="31" t="s">
        <v>87</v>
      </c>
      <c r="C185" s="31" t="s">
        <v>573</v>
      </c>
      <c r="D185" s="31" t="s">
        <v>574</v>
      </c>
      <c r="E185" s="30" t="s">
        <v>114</v>
      </c>
      <c r="F185" s="31" t="s">
        <v>105</v>
      </c>
      <c r="G185" s="31" t="s">
        <v>37</v>
      </c>
      <c r="H185" s="30" t="s">
        <v>48</v>
      </c>
      <c r="I185" s="30" t="str">
        <f aca="false">IF(OR(E185="Ambas",Instruções!$C$5="",E185=Instruções!$C$5),"Sim","Não")</f>
        <v>Sim</v>
      </c>
      <c r="J185" s="32"/>
      <c r="K185" s="33"/>
      <c r="L185" s="33"/>
      <c r="M185" s="33"/>
      <c r="N185" s="34"/>
    </row>
    <row r="186" customFormat="false" ht="15" hidden="false" customHeight="false" outlineLevel="0" collapsed="false">
      <c r="A186" s="30" t="s">
        <v>575</v>
      </c>
      <c r="B186" s="31" t="s">
        <v>87</v>
      </c>
      <c r="C186" s="31" t="s">
        <v>576</v>
      </c>
      <c r="D186" s="31" t="s">
        <v>577</v>
      </c>
      <c r="E186" s="30" t="s">
        <v>104</v>
      </c>
      <c r="F186" s="31" t="s">
        <v>105</v>
      </c>
      <c r="G186" s="31" t="s">
        <v>37</v>
      </c>
      <c r="H186" s="30" t="s">
        <v>46</v>
      </c>
      <c r="I186" s="30" t="str">
        <f aca="false">IF(OR(E186="Ambas",Instruções!$C$5="",E186=Instruções!$C$5),"Sim","Não")</f>
        <v>Sim</v>
      </c>
      <c r="J186" s="32"/>
      <c r="K186" s="33"/>
      <c r="L186" s="33"/>
      <c r="M186" s="33"/>
      <c r="N186" s="34"/>
    </row>
    <row r="187" customFormat="false" ht="15" hidden="false" customHeight="false" outlineLevel="0" collapsed="false">
      <c r="A187" s="30" t="s">
        <v>578</v>
      </c>
      <c r="B187" s="31" t="s">
        <v>87</v>
      </c>
      <c r="C187" s="31" t="s">
        <v>41</v>
      </c>
      <c r="D187" s="31" t="s">
        <v>579</v>
      </c>
      <c r="E187" s="30" t="s">
        <v>114</v>
      </c>
      <c r="F187" s="31" t="s">
        <v>417</v>
      </c>
      <c r="G187" s="31" t="s">
        <v>41</v>
      </c>
      <c r="H187" s="30" t="s">
        <v>44</v>
      </c>
      <c r="I187" s="30" t="str">
        <f aca="false">IF(OR(E187="Ambas",Instruções!$C$5="",E187=Instruções!$C$5),"Sim","Não")</f>
        <v>Sim</v>
      </c>
      <c r="J187" s="32"/>
      <c r="K187" s="33"/>
      <c r="L187" s="33"/>
      <c r="M187" s="33"/>
      <c r="N187" s="34"/>
    </row>
    <row r="188" customFormat="false" ht="23.85" hidden="false" customHeight="false" outlineLevel="0" collapsed="false">
      <c r="A188" s="30" t="s">
        <v>580</v>
      </c>
      <c r="B188" s="31" t="s">
        <v>88</v>
      </c>
      <c r="C188" s="31" t="s">
        <v>581</v>
      </c>
      <c r="D188" s="31" t="s">
        <v>582</v>
      </c>
      <c r="E188" s="30" t="s">
        <v>104</v>
      </c>
      <c r="F188" s="31" t="s">
        <v>118</v>
      </c>
      <c r="G188" s="31" t="s">
        <v>37</v>
      </c>
      <c r="H188" s="30" t="s">
        <v>46</v>
      </c>
      <c r="I188" s="30" t="str">
        <f aca="false">IF(OR(E188="Ambas",Instruções!$C$5="",E188=Instruções!$C$5),"Sim","Não")</f>
        <v>Sim</v>
      </c>
      <c r="J188" s="32"/>
      <c r="K188" s="33"/>
      <c r="L188" s="33"/>
      <c r="M188" s="33"/>
      <c r="N188" s="34"/>
    </row>
    <row r="189" customFormat="false" ht="23.85" hidden="false" customHeight="false" outlineLevel="0" collapsed="false">
      <c r="A189" s="30" t="s">
        <v>583</v>
      </c>
      <c r="B189" s="31" t="s">
        <v>88</v>
      </c>
      <c r="C189" s="31" t="s">
        <v>584</v>
      </c>
      <c r="D189" s="31" t="s">
        <v>585</v>
      </c>
      <c r="E189" s="30" t="s">
        <v>104</v>
      </c>
      <c r="F189" s="31" t="s">
        <v>105</v>
      </c>
      <c r="G189" s="31" t="s">
        <v>37</v>
      </c>
      <c r="H189" s="30" t="s">
        <v>48</v>
      </c>
      <c r="I189" s="30" t="str">
        <f aca="false">IF(OR(E189="Ambas",Instruções!$C$5="",E189=Instruções!$C$5),"Sim","Não")</f>
        <v>Sim</v>
      </c>
      <c r="J189" s="32"/>
      <c r="K189" s="33"/>
      <c r="L189" s="33"/>
      <c r="M189" s="33"/>
      <c r="N189" s="34"/>
    </row>
    <row r="190" customFormat="false" ht="23.85" hidden="false" customHeight="false" outlineLevel="0" collapsed="false">
      <c r="A190" s="30" t="s">
        <v>586</v>
      </c>
      <c r="B190" s="31" t="s">
        <v>88</v>
      </c>
      <c r="C190" s="31" t="s">
        <v>587</v>
      </c>
      <c r="D190" s="31" t="s">
        <v>588</v>
      </c>
      <c r="E190" s="30" t="s">
        <v>114</v>
      </c>
      <c r="F190" s="31" t="s">
        <v>105</v>
      </c>
      <c r="G190" s="31" t="s">
        <v>37</v>
      </c>
      <c r="H190" s="30" t="s">
        <v>48</v>
      </c>
      <c r="I190" s="30" t="str">
        <f aca="false">IF(OR(E190="Ambas",Instruções!$C$5="",E190=Instruções!$C$5),"Sim","Não")</f>
        <v>Sim</v>
      </c>
      <c r="J190" s="32"/>
      <c r="K190" s="33"/>
      <c r="L190" s="33"/>
      <c r="M190" s="33"/>
      <c r="N190" s="34"/>
    </row>
    <row r="191" customFormat="false" ht="23.85" hidden="false" customHeight="false" outlineLevel="0" collapsed="false">
      <c r="A191" s="30" t="s">
        <v>589</v>
      </c>
      <c r="B191" s="31" t="s">
        <v>88</v>
      </c>
      <c r="C191" s="31" t="s">
        <v>587</v>
      </c>
      <c r="D191" s="31" t="s">
        <v>590</v>
      </c>
      <c r="E191" s="30" t="s">
        <v>104</v>
      </c>
      <c r="F191" s="31" t="s">
        <v>105</v>
      </c>
      <c r="G191" s="31" t="s">
        <v>37</v>
      </c>
      <c r="H191" s="30" t="s">
        <v>48</v>
      </c>
      <c r="I191" s="30" t="str">
        <f aca="false">IF(OR(E191="Ambas",Instruções!$C$5="",E191=Instruções!$C$5),"Sim","Não")</f>
        <v>Sim</v>
      </c>
      <c r="J191" s="32"/>
      <c r="K191" s="33"/>
      <c r="L191" s="33"/>
      <c r="M191" s="33"/>
      <c r="N191" s="34"/>
    </row>
    <row r="192" customFormat="false" ht="15" hidden="false" customHeight="false" outlineLevel="0" collapsed="false">
      <c r="A192" s="35"/>
      <c r="B192" s="35"/>
      <c r="C192" s="35"/>
      <c r="D192" s="35"/>
      <c r="E192" s="35"/>
      <c r="F192" s="35"/>
      <c r="G192" s="35"/>
      <c r="H192" s="35"/>
      <c r="I192" s="30" t="str">
        <f aca="false">IF(D192="","",IF(OR(E192="Ambas",E192="",Instruções!$C$5="",E192=Instruções!$C$5),"Sim","Não"))</f>
        <v/>
      </c>
      <c r="J192" s="33"/>
      <c r="K192" s="33"/>
      <c r="L192" s="33"/>
      <c r="M192" s="33"/>
      <c r="N192" s="34"/>
    </row>
    <row r="193" customFormat="false" ht="15" hidden="false" customHeight="false" outlineLevel="0" collapsed="false">
      <c r="A193" s="35"/>
      <c r="B193" s="35"/>
      <c r="C193" s="35"/>
      <c r="D193" s="35"/>
      <c r="E193" s="35"/>
      <c r="F193" s="35"/>
      <c r="G193" s="35"/>
      <c r="H193" s="35"/>
      <c r="I193" s="30" t="str">
        <f aca="false">IF(D193="","",IF(OR(E193="Ambas",E193="",Instruções!$C$5="",E193=Instruções!$C$5),"Sim","Não"))</f>
        <v/>
      </c>
      <c r="J193" s="33"/>
      <c r="K193" s="33"/>
      <c r="L193" s="33"/>
      <c r="M193" s="33"/>
      <c r="N193" s="34"/>
    </row>
    <row r="194" customFormat="false" ht="15" hidden="false" customHeight="false" outlineLevel="0" collapsed="false">
      <c r="A194" s="35"/>
      <c r="B194" s="35"/>
      <c r="C194" s="35"/>
      <c r="D194" s="35"/>
      <c r="E194" s="35"/>
      <c r="F194" s="35"/>
      <c r="G194" s="35"/>
      <c r="H194" s="35"/>
      <c r="I194" s="30" t="str">
        <f aca="false">IF(D194="","",IF(OR(E194="Ambas",E194="",Instruções!$C$5="",E194=Instruções!$C$5),"Sim","Não"))</f>
        <v/>
      </c>
      <c r="J194" s="33"/>
      <c r="K194" s="33"/>
      <c r="L194" s="33"/>
      <c r="M194" s="33"/>
      <c r="N194" s="34"/>
    </row>
    <row r="195" customFormat="false" ht="15" hidden="false" customHeight="false" outlineLevel="0" collapsed="false">
      <c r="A195" s="35"/>
      <c r="B195" s="35"/>
      <c r="C195" s="35"/>
      <c r="D195" s="35"/>
      <c r="E195" s="35"/>
      <c r="F195" s="35"/>
      <c r="G195" s="35"/>
      <c r="H195" s="35"/>
      <c r="I195" s="30" t="str">
        <f aca="false">IF(D195="","",IF(OR(E195="Ambas",E195="",Instruções!$C$5="",E195=Instruções!$C$5),"Sim","Não"))</f>
        <v/>
      </c>
      <c r="J195" s="33"/>
      <c r="K195" s="33"/>
      <c r="L195" s="33"/>
      <c r="M195" s="33"/>
      <c r="N195" s="34"/>
    </row>
    <row r="196" customFormat="false" ht="15" hidden="false" customHeight="false" outlineLevel="0" collapsed="false">
      <c r="A196" s="35"/>
      <c r="B196" s="35"/>
      <c r="C196" s="35"/>
      <c r="D196" s="35"/>
      <c r="E196" s="35"/>
      <c r="F196" s="35"/>
      <c r="G196" s="35"/>
      <c r="H196" s="35"/>
      <c r="I196" s="30" t="str">
        <f aca="false">IF(D196="","",IF(OR(E196="Ambas",E196="",Instruções!$C$5="",E196=Instruções!$C$5),"Sim","Não"))</f>
        <v/>
      </c>
      <c r="J196" s="33"/>
      <c r="K196" s="33"/>
      <c r="L196" s="33"/>
      <c r="M196" s="33"/>
      <c r="N196" s="34"/>
    </row>
    <row r="197" customFormat="false" ht="15" hidden="false" customHeight="false" outlineLevel="0" collapsed="false">
      <c r="A197" s="35"/>
      <c r="B197" s="35"/>
      <c r="C197" s="35"/>
      <c r="D197" s="35"/>
      <c r="E197" s="35"/>
      <c r="F197" s="35"/>
      <c r="G197" s="35"/>
      <c r="H197" s="35"/>
      <c r="I197" s="30" t="str">
        <f aca="false">IF(D197="","",IF(OR(E197="Ambas",E197="",Instruções!$C$5="",E197=Instruções!$C$5),"Sim","Não"))</f>
        <v/>
      </c>
      <c r="J197" s="33"/>
      <c r="K197" s="33"/>
      <c r="L197" s="33"/>
      <c r="M197" s="33"/>
      <c r="N197" s="34"/>
    </row>
    <row r="198" customFormat="false" ht="15" hidden="false" customHeight="false" outlineLevel="0" collapsed="false">
      <c r="A198" s="35"/>
      <c r="B198" s="35"/>
      <c r="C198" s="35"/>
      <c r="D198" s="35"/>
      <c r="E198" s="35"/>
      <c r="F198" s="35"/>
      <c r="G198" s="35"/>
      <c r="H198" s="35"/>
      <c r="I198" s="30" t="str">
        <f aca="false">IF(D198="","",IF(OR(E198="Ambas",E198="",Instruções!$C$5="",E198=Instruções!$C$5),"Sim","Não"))</f>
        <v/>
      </c>
      <c r="J198" s="33"/>
      <c r="K198" s="33"/>
      <c r="L198" s="33"/>
      <c r="M198" s="33"/>
      <c r="N198" s="34"/>
    </row>
    <row r="199" customFormat="false" ht="15" hidden="false" customHeight="false" outlineLevel="0" collapsed="false">
      <c r="A199" s="35"/>
      <c r="B199" s="35"/>
      <c r="C199" s="35"/>
      <c r="D199" s="35"/>
      <c r="E199" s="35"/>
      <c r="F199" s="35"/>
      <c r="G199" s="35"/>
      <c r="H199" s="35"/>
      <c r="I199" s="30" t="str">
        <f aca="false">IF(D199="","",IF(OR(E199="Ambas",E199="",Instruções!$C$5="",E199=Instruções!$C$5),"Sim","Não"))</f>
        <v/>
      </c>
      <c r="J199" s="33"/>
      <c r="K199" s="33"/>
      <c r="L199" s="33"/>
      <c r="M199" s="33"/>
      <c r="N199" s="34"/>
    </row>
    <row r="200" customFormat="false" ht="15" hidden="false" customHeight="false" outlineLevel="0" collapsed="false">
      <c r="A200" s="35"/>
      <c r="B200" s="35"/>
      <c r="C200" s="35"/>
      <c r="D200" s="35"/>
      <c r="E200" s="35"/>
      <c r="F200" s="35"/>
      <c r="G200" s="35"/>
      <c r="H200" s="35"/>
      <c r="I200" s="30" t="str">
        <f aca="false">IF(D200="","",IF(OR(E200="Ambas",E200="",Instruções!$C$5="",E200=Instruções!$C$5),"Sim","Não"))</f>
        <v/>
      </c>
      <c r="J200" s="33"/>
      <c r="K200" s="33"/>
      <c r="L200" s="33"/>
      <c r="M200" s="33"/>
      <c r="N200" s="34"/>
    </row>
    <row r="201" customFormat="false" ht="15" hidden="false" customHeight="false" outlineLevel="0" collapsed="false">
      <c r="A201" s="35"/>
      <c r="B201" s="35"/>
      <c r="C201" s="35"/>
      <c r="D201" s="35"/>
      <c r="E201" s="35"/>
      <c r="F201" s="35"/>
      <c r="G201" s="35"/>
      <c r="H201" s="35"/>
      <c r="I201" s="30" t="str">
        <f aca="false">IF(D201="","",IF(OR(E201="Ambas",E201="",Instruções!$C$5="",E201=Instruções!$C$5),"Sim","Não"))</f>
        <v/>
      </c>
      <c r="J201" s="33"/>
      <c r="K201" s="33"/>
      <c r="L201" s="33"/>
      <c r="M201" s="33"/>
      <c r="N201" s="34"/>
    </row>
    <row r="202" customFormat="false" ht="15" hidden="false" customHeight="false" outlineLevel="0" collapsed="false">
      <c r="A202" s="35"/>
      <c r="B202" s="35"/>
      <c r="C202" s="35"/>
      <c r="D202" s="35"/>
      <c r="E202" s="35"/>
      <c r="F202" s="35"/>
      <c r="G202" s="35"/>
      <c r="H202" s="35"/>
      <c r="I202" s="30" t="str">
        <f aca="false">IF(D202="","",IF(OR(E202="Ambas",E202="",Instruções!$C$5="",E202=Instruções!$C$5),"Sim","Não"))</f>
        <v/>
      </c>
      <c r="J202" s="33"/>
      <c r="K202" s="33"/>
      <c r="L202" s="33"/>
      <c r="M202" s="33"/>
      <c r="N202" s="34"/>
    </row>
    <row r="203" customFormat="false" ht="15" hidden="false" customHeight="false" outlineLevel="0" collapsed="false">
      <c r="A203" s="35"/>
      <c r="B203" s="35"/>
      <c r="C203" s="35"/>
      <c r="D203" s="35"/>
      <c r="E203" s="35"/>
      <c r="F203" s="35"/>
      <c r="G203" s="35"/>
      <c r="H203" s="35"/>
      <c r="I203" s="30" t="str">
        <f aca="false">IF(D203="","",IF(OR(E203="Ambas",E203="",Instruções!$C$5="",E203=Instruções!$C$5),"Sim","Não"))</f>
        <v/>
      </c>
      <c r="J203" s="33"/>
      <c r="K203" s="33"/>
      <c r="L203" s="33"/>
      <c r="M203" s="33"/>
      <c r="N203" s="34"/>
    </row>
    <row r="204" customFormat="false" ht="15" hidden="false" customHeight="false" outlineLevel="0" collapsed="false">
      <c r="A204" s="35"/>
      <c r="B204" s="35"/>
      <c r="C204" s="35"/>
      <c r="D204" s="35"/>
      <c r="E204" s="35"/>
      <c r="F204" s="35"/>
      <c r="G204" s="35"/>
      <c r="H204" s="35"/>
      <c r="I204" s="30" t="str">
        <f aca="false">IF(D204="","",IF(OR(E204="Ambas",E204="",Instruções!$C$5="",E204=Instruções!$C$5),"Sim","Não"))</f>
        <v/>
      </c>
      <c r="J204" s="33"/>
      <c r="K204" s="33"/>
      <c r="L204" s="33"/>
      <c r="M204" s="33"/>
      <c r="N204" s="34"/>
    </row>
    <row r="205" customFormat="false" ht="15" hidden="false" customHeight="false" outlineLevel="0" collapsed="false">
      <c r="A205" s="35"/>
      <c r="B205" s="35"/>
      <c r="C205" s="35"/>
      <c r="D205" s="35"/>
      <c r="E205" s="35"/>
      <c r="F205" s="35"/>
      <c r="G205" s="35"/>
      <c r="H205" s="35"/>
      <c r="I205" s="30" t="str">
        <f aca="false">IF(D205="","",IF(OR(E205="Ambas",E205="",Instruções!$C$5="",E205=Instruções!$C$5),"Sim","Não"))</f>
        <v/>
      </c>
      <c r="J205" s="33"/>
      <c r="K205" s="33"/>
      <c r="L205" s="33"/>
      <c r="M205" s="33"/>
      <c r="N205" s="34"/>
    </row>
    <row r="206" customFormat="false" ht="15" hidden="false" customHeight="false" outlineLevel="0" collapsed="false">
      <c r="A206" s="35"/>
      <c r="B206" s="35"/>
      <c r="C206" s="35"/>
      <c r="D206" s="35"/>
      <c r="E206" s="35"/>
      <c r="F206" s="35"/>
      <c r="G206" s="35"/>
      <c r="H206" s="35"/>
      <c r="I206" s="30" t="str">
        <f aca="false">IF(D206="","",IF(OR(E206="Ambas",E206="",Instruções!$C$5="",E206=Instruções!$C$5),"Sim","Não"))</f>
        <v/>
      </c>
      <c r="J206" s="33"/>
      <c r="K206" s="33"/>
      <c r="L206" s="33"/>
      <c r="M206" s="33"/>
      <c r="N206" s="34"/>
    </row>
    <row r="207" customFormat="false" ht="15" hidden="false" customHeight="false" outlineLevel="0" collapsed="false">
      <c r="A207" s="35"/>
      <c r="B207" s="35"/>
      <c r="C207" s="35"/>
      <c r="D207" s="35"/>
      <c r="E207" s="35"/>
      <c r="F207" s="35"/>
      <c r="G207" s="35"/>
      <c r="H207" s="35"/>
      <c r="I207" s="30" t="str">
        <f aca="false">IF(D207="","",IF(OR(E207="Ambas",E207="",Instruções!$C$5="",E207=Instruções!$C$5),"Sim","Não"))</f>
        <v/>
      </c>
      <c r="J207" s="33"/>
      <c r="K207" s="33"/>
      <c r="L207" s="33"/>
      <c r="M207" s="33"/>
      <c r="N207" s="34"/>
    </row>
    <row r="208" customFormat="false" ht="15" hidden="false" customHeight="false" outlineLevel="0" collapsed="false">
      <c r="A208" s="35"/>
      <c r="B208" s="35"/>
      <c r="C208" s="35"/>
      <c r="D208" s="35"/>
      <c r="E208" s="35"/>
      <c r="F208" s="35"/>
      <c r="G208" s="35"/>
      <c r="H208" s="35"/>
      <c r="I208" s="30" t="str">
        <f aca="false">IF(D208="","",IF(OR(E208="Ambas",E208="",Instruções!$C$5="",E208=Instruções!$C$5),"Sim","Não"))</f>
        <v/>
      </c>
      <c r="J208" s="33"/>
      <c r="K208" s="33"/>
      <c r="L208" s="33"/>
      <c r="M208" s="33"/>
      <c r="N208" s="34"/>
    </row>
    <row r="209" customFormat="false" ht="15" hidden="false" customHeight="false" outlineLevel="0" collapsed="false">
      <c r="A209" s="35"/>
      <c r="B209" s="35"/>
      <c r="C209" s="35"/>
      <c r="D209" s="35"/>
      <c r="E209" s="35"/>
      <c r="F209" s="35"/>
      <c r="G209" s="35"/>
      <c r="H209" s="35"/>
      <c r="I209" s="30" t="str">
        <f aca="false">IF(D209="","",IF(OR(E209="Ambas",E209="",Instruções!$C$5="",E209=Instruções!$C$5),"Sim","Não"))</f>
        <v/>
      </c>
      <c r="J209" s="33"/>
      <c r="K209" s="33"/>
      <c r="L209" s="33"/>
      <c r="M209" s="33"/>
      <c r="N209" s="34"/>
    </row>
    <row r="210" customFormat="false" ht="15" hidden="false" customHeight="false" outlineLevel="0" collapsed="false">
      <c r="A210" s="35"/>
      <c r="B210" s="35"/>
      <c r="C210" s="35"/>
      <c r="D210" s="35"/>
      <c r="E210" s="35"/>
      <c r="F210" s="35"/>
      <c r="G210" s="35"/>
      <c r="H210" s="35"/>
      <c r="I210" s="30" t="str">
        <f aca="false">IF(D210="","",IF(OR(E210="Ambas",E210="",Instruções!$C$5="",E210=Instruções!$C$5),"Sim","Não"))</f>
        <v/>
      </c>
      <c r="J210" s="33"/>
      <c r="K210" s="33"/>
      <c r="L210" s="33"/>
      <c r="M210" s="33"/>
      <c r="N210" s="34"/>
    </row>
    <row r="211" customFormat="false" ht="15" hidden="false" customHeight="false" outlineLevel="0" collapsed="false">
      <c r="A211" s="35"/>
      <c r="B211" s="35"/>
      <c r="C211" s="35"/>
      <c r="D211" s="35"/>
      <c r="E211" s="35"/>
      <c r="F211" s="35"/>
      <c r="G211" s="35"/>
      <c r="H211" s="35"/>
      <c r="I211" s="30" t="str">
        <f aca="false">IF(D211="","",IF(OR(E211="Ambas",E211="",Instruções!$C$5="",E211=Instruções!$C$5),"Sim","Não"))</f>
        <v/>
      </c>
      <c r="J211" s="33"/>
      <c r="K211" s="33"/>
      <c r="L211" s="33"/>
      <c r="M211" s="33"/>
      <c r="N211" s="34"/>
    </row>
    <row r="212" customFormat="false" ht="15" hidden="false" customHeight="false" outlineLevel="0" collapsed="false">
      <c r="A212" s="35"/>
      <c r="B212" s="35"/>
      <c r="C212" s="35"/>
      <c r="D212" s="35"/>
      <c r="E212" s="35"/>
      <c r="F212" s="35"/>
      <c r="G212" s="35"/>
      <c r="H212" s="35"/>
      <c r="I212" s="30" t="str">
        <f aca="false">IF(D212="","",IF(OR(E212="Ambas",E212="",Instruções!$C$5="",E212=Instruções!$C$5),"Sim","Não"))</f>
        <v/>
      </c>
      <c r="J212" s="33"/>
      <c r="K212" s="33"/>
      <c r="L212" s="33"/>
      <c r="M212" s="33"/>
      <c r="N212" s="34"/>
    </row>
    <row r="213" customFormat="false" ht="15" hidden="false" customHeight="false" outlineLevel="0" collapsed="false">
      <c r="A213" s="35"/>
      <c r="B213" s="35"/>
      <c r="C213" s="35"/>
      <c r="D213" s="35"/>
      <c r="E213" s="35"/>
      <c r="F213" s="35"/>
      <c r="G213" s="35"/>
      <c r="H213" s="35"/>
      <c r="I213" s="30" t="str">
        <f aca="false">IF(D213="","",IF(OR(E213="Ambas",E213="",Instruções!$C$5="",E213=Instruções!$C$5),"Sim","Não"))</f>
        <v/>
      </c>
      <c r="J213" s="33"/>
      <c r="K213" s="33"/>
      <c r="L213" s="33"/>
      <c r="M213" s="33"/>
      <c r="N213" s="34"/>
    </row>
    <row r="214" customFormat="false" ht="15" hidden="false" customHeight="false" outlineLevel="0" collapsed="false">
      <c r="A214" s="35"/>
      <c r="B214" s="35"/>
      <c r="C214" s="35"/>
      <c r="D214" s="35"/>
      <c r="E214" s="35"/>
      <c r="F214" s="35"/>
      <c r="G214" s="35"/>
      <c r="H214" s="35"/>
      <c r="I214" s="30" t="str">
        <f aca="false">IF(D214="","",IF(OR(E214="Ambas",E214="",Instruções!$C$5="",E214=Instruções!$C$5),"Sim","Não"))</f>
        <v/>
      </c>
      <c r="J214" s="33"/>
      <c r="K214" s="33"/>
      <c r="L214" s="33"/>
      <c r="M214" s="33"/>
      <c r="N214" s="34"/>
    </row>
    <row r="215" customFormat="false" ht="15" hidden="false" customHeight="false" outlineLevel="0" collapsed="false">
      <c r="A215" s="35"/>
      <c r="B215" s="35"/>
      <c r="C215" s="35"/>
      <c r="D215" s="35"/>
      <c r="E215" s="35"/>
      <c r="F215" s="35"/>
      <c r="G215" s="35"/>
      <c r="H215" s="35"/>
      <c r="I215" s="30" t="str">
        <f aca="false">IF(D215="","",IF(OR(E215="Ambas",E215="",Instruções!$C$5="",E215=Instruções!$C$5),"Sim","Não"))</f>
        <v/>
      </c>
      <c r="J215" s="33"/>
      <c r="K215" s="33"/>
      <c r="L215" s="33"/>
      <c r="M215" s="33"/>
      <c r="N215" s="34"/>
    </row>
    <row r="216" customFormat="false" ht="15" hidden="false" customHeight="false" outlineLevel="0" collapsed="false">
      <c r="A216" s="35"/>
      <c r="B216" s="35"/>
      <c r="C216" s="35"/>
      <c r="D216" s="35"/>
      <c r="E216" s="35"/>
      <c r="F216" s="35"/>
      <c r="G216" s="35"/>
      <c r="H216" s="35"/>
      <c r="I216" s="30" t="str">
        <f aca="false">IF(D216="","",IF(OR(E216="Ambas",E216="",Instruções!$C$5="",E216=Instruções!$C$5),"Sim","Não"))</f>
        <v/>
      </c>
      <c r="J216" s="33"/>
      <c r="K216" s="33"/>
      <c r="L216" s="33"/>
      <c r="M216" s="33"/>
      <c r="N216" s="34"/>
    </row>
    <row r="217" customFormat="false" ht="15" hidden="false" customHeight="false" outlineLevel="0" collapsed="false">
      <c r="A217" s="35"/>
      <c r="B217" s="35"/>
      <c r="C217" s="35"/>
      <c r="D217" s="35"/>
      <c r="E217" s="35"/>
      <c r="F217" s="35"/>
      <c r="G217" s="35"/>
      <c r="H217" s="35"/>
      <c r="I217" s="30" t="str">
        <f aca="false">IF(D217="","",IF(OR(E217="Ambas",E217="",Instruções!$C$5="",E217=Instruções!$C$5),"Sim","Não"))</f>
        <v/>
      </c>
      <c r="J217" s="33"/>
      <c r="K217" s="33"/>
      <c r="L217" s="33"/>
      <c r="M217" s="33"/>
      <c r="N217" s="34"/>
    </row>
    <row r="218" customFormat="false" ht="15" hidden="false" customHeight="false" outlineLevel="0" collapsed="false">
      <c r="A218" s="35"/>
      <c r="B218" s="35"/>
      <c r="C218" s="35"/>
      <c r="D218" s="35"/>
      <c r="E218" s="35"/>
      <c r="F218" s="35"/>
      <c r="G218" s="35"/>
      <c r="H218" s="35"/>
      <c r="I218" s="30" t="str">
        <f aca="false">IF(D218="","",IF(OR(E218="Ambas",E218="",Instruções!$C$5="",E218=Instruções!$C$5),"Sim","Não"))</f>
        <v/>
      </c>
      <c r="J218" s="33"/>
      <c r="K218" s="33"/>
      <c r="L218" s="33"/>
      <c r="M218" s="33"/>
      <c r="N218" s="34"/>
    </row>
    <row r="219" customFormat="false" ht="15" hidden="false" customHeight="false" outlineLevel="0" collapsed="false">
      <c r="A219" s="35"/>
      <c r="B219" s="35"/>
      <c r="C219" s="35"/>
      <c r="D219" s="35"/>
      <c r="E219" s="35"/>
      <c r="F219" s="35"/>
      <c r="G219" s="35"/>
      <c r="H219" s="35"/>
      <c r="I219" s="30" t="str">
        <f aca="false">IF(D219="","",IF(OR(E219="Ambas",E219="",Instruções!$C$5="",E219=Instruções!$C$5),"Sim","Não"))</f>
        <v/>
      </c>
      <c r="J219" s="33"/>
      <c r="K219" s="33"/>
      <c r="L219" s="33"/>
      <c r="M219" s="33"/>
      <c r="N219" s="34"/>
    </row>
    <row r="220" customFormat="false" ht="15" hidden="false" customHeight="false" outlineLevel="0" collapsed="false">
      <c r="A220" s="35"/>
      <c r="B220" s="35"/>
      <c r="C220" s="35"/>
      <c r="D220" s="35"/>
      <c r="E220" s="35"/>
      <c r="F220" s="35"/>
      <c r="G220" s="35"/>
      <c r="H220" s="35"/>
      <c r="I220" s="30" t="str">
        <f aca="false">IF(D220="","",IF(OR(E220="Ambas",E220="",Instruções!$C$5="",E220=Instruções!$C$5),"Sim","Não"))</f>
        <v/>
      </c>
      <c r="J220" s="33"/>
      <c r="K220" s="33"/>
      <c r="L220" s="33"/>
      <c r="M220" s="33"/>
      <c r="N220" s="34"/>
    </row>
    <row r="221" customFormat="false" ht="15" hidden="false" customHeight="false" outlineLevel="0" collapsed="false">
      <c r="A221" s="35"/>
      <c r="B221" s="35"/>
      <c r="C221" s="35"/>
      <c r="D221" s="35"/>
      <c r="E221" s="35"/>
      <c r="F221" s="35"/>
      <c r="G221" s="35"/>
      <c r="H221" s="35"/>
      <c r="I221" s="30" t="str">
        <f aca="false">IF(D221="","",IF(OR(E221="Ambas",E221="",Instruções!$C$5="",E221=Instruções!$C$5),"Sim","Não"))</f>
        <v/>
      </c>
      <c r="J221" s="33"/>
      <c r="K221" s="33"/>
      <c r="L221" s="33"/>
      <c r="M221" s="33"/>
      <c r="N221" s="34"/>
    </row>
  </sheetData>
  <autoFilter ref="A3:N221"/>
  <conditionalFormatting sqref="A4:N221">
    <cfRule type="expression" priority="2" aboveAverage="0" equalAverage="0" bottom="0" percent="0" rank="0" text="" dxfId="9">
      <formula>$I4="Não"</formula>
    </cfRule>
  </conditionalFormatting>
  <conditionalFormatting sqref="J4:J221">
    <cfRule type="cellIs" priority="3" operator="equal" aboveAverage="0" equalAverage="0" bottom="0" percent="0" rank="0" text="" dxfId="10">
      <formula>"OK"</formula>
    </cfRule>
    <cfRule type="cellIs" priority="4" operator="equal" aboveAverage="0" equalAverage="0" bottom="0" percent="0" rank="0" text="" dxfId="1">
      <formula>"Omisso"</formula>
    </cfRule>
    <cfRule type="cellIs" priority="5" operator="equal" aboveAverage="0" equalAverage="0" bottom="0" percent="0" rank="0" text="" dxfId="11">
      <formula>"A esclarecer"</formula>
    </cfRule>
    <cfRule type="cellIs" priority="6" operator="equal" aboveAverage="0" equalAverage="0" bottom="0" percent="0" rank="0" text="" dxfId="12">
      <formula>"N/A"</formula>
    </cfRule>
  </conditionalFormatting>
  <conditionalFormatting sqref="H4:H221">
    <cfRule type="cellIs" priority="7" operator="equal" aboveAverage="0" equalAverage="0" bottom="0" percent="0" rank="0" text="" dxfId="0">
      <formula>"Alta"</formula>
    </cfRule>
  </conditionalFormatting>
  <dataValidations count="5">
    <dataValidation allowBlank="true" errorStyle="stop" operator="between" showDropDown="false" showErrorMessage="false" showInputMessage="false" sqref="J4:J221" type="list">
      <formula1>"OK,Omisso,A esclarecer,N/A"</formula1>
      <formula2>0</formula2>
    </dataValidation>
    <dataValidation allowBlank="true" errorStyle="stop" operator="between" showDropDown="false" showErrorMessage="false" showInputMessage="false" sqref="H192:H221" type="list">
      <formula1>"Alta,Média,Baixa"</formula1>
      <formula2>0</formula2>
    </dataValidation>
    <dataValidation allowBlank="true" errorStyle="stop" operator="between" showDropDown="false" showErrorMessage="false" showInputMessage="false" sqref="E192:E221" type="list">
      <formula1>"Ambas,Construção nova,Remodelação"</formula1>
      <formula2>0</formula2>
    </dataValidation>
    <dataValidation allowBlank="true" errorStyle="stop" operator="between" showDropDown="false" showErrorMessage="false" showInputMessage="false" sqref="G192:G221" type="list">
      <formula1>"Omissão no MQ,Omissão de projeto,Compatibilização"</formula1>
      <formula2>0</formula2>
    </dataValidation>
    <dataValidation allowBlank="true" errorStyle="stop" operator="between" showDropDown="false" showErrorMessage="false" showInputMessage="false" sqref="B192:B221" type="list">
      <formula1>Resumo!$A$5:$A$21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2026-10-10T16:58:50Z</dcterms:created>
  <dc:creator>openpyxl</dc:creator>
  <dc:description/>
  <dc:language>en-US</dc:language>
  <cp:lastModifiedBy/>
  <dcterms:modified xsi:type="dcterms:W3CDTF">2026-10-10T16:58:50Z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