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MQ_Preliminar" sheetId="2" state="visible" r:id="rId4"/>
    <sheet name="Cálculos" sheetId="3" state="visible" r:id="rId5"/>
  </sheets>
  <definedNames>
    <definedName function="false" hidden="true" localSheetId="1" name="_xlnm._FilterDatabase" vbProcedure="false">MQ_Preliminar!$A$4:$F$138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<sst xmlns="http://schemas.openxmlformats.org/spreadsheetml/2006/main" count="1131" uniqueCount="680">
  <si>
    <t xml:space="preserve">Medição preliminar – Moradia bifamiliar Apúlia (Vendeiro)</t>
  </si>
  <si>
    <t xml:space="preserve">v1 · Elaborada a partir das peças escritas dos projetos (sem MQ do projetista) · Para validação</t>
  </si>
  <si>
    <t xml:space="preserve">Confiança A</t>
  </si>
  <si>
    <t xml:space="preserve">Medição do projeto</t>
  </si>
  <si>
    <t xml:space="preserve">Confiança B</t>
  </si>
  <si>
    <t xml:space="preserve">Calculado a partir de dados do projeto</t>
  </si>
  <si>
    <t xml:space="preserve">Confiança C</t>
  </si>
  <si>
    <t xml:space="preserve">Estimativa por rácio / pressuposto</t>
  </si>
  <si>
    <t xml:space="preserve">Confiança D</t>
  </si>
  <si>
    <t xml:space="preserve">Verba a medir / a confirmar</t>
  </si>
  <si>
    <t xml:space="preserve">• Rastreabilidade: cada quantidade do MQ remete para uma linha da folha «Cálculos» (fórmula + fonte). Altere os dados de base (D01–D20) e tudo recalcula.</t>
  </si>
  <si>
    <t xml:space="preserve">• Arquitetura: os desenhos do PDF usam fontes não extraíveis; as áreas dos compartimentos foram lidas nas plantas incluídas nos projetos de Gás/Residuais.</t>
  </si>
  <si>
    <t xml:space="preserve">• Estrutura: volumes de pilares e vigas estimados (secções reais, comprimentos/alturas aproximados). Aço por rácio. Validar com medição sobre desenhos.</t>
  </si>
  <si>
    <t xml:space="preserve">• Elétrico: desenhos não legíveis → pontos de luz/tomadas por rácio (0,25 e 0,35 por m² útil).</t>
  </si>
  <si>
    <t xml:space="preserve">• Omissões identificadas e já incluídas: válvula antirretorno (cadastro EAmb), ATE do ITED (qtd 0 no projeto), hidrante SCIE, poço de infiltração pluvial.</t>
  </si>
  <si>
    <t xml:space="preserve">• Fora de medição (confiança D): demolição do existente, arranjos exteriores, guardas, pintura exterior, luminárias, cozinhas.</t>
  </si>
  <si>
    <t xml:space="preserve">Resumo da confiança</t>
  </si>
  <si>
    <t xml:space="preserve">A – Medição do projeto</t>
  </si>
  <si>
    <t xml:space="preserve">51 artigos</t>
  </si>
  <si>
    <t xml:space="preserve">B – Calculado a partir de dados do projeto</t>
  </si>
  <si>
    <t xml:space="preserve">26 artigos</t>
  </si>
  <si>
    <t xml:space="preserve">C – Estimativa por rácio / pressuposto</t>
  </si>
  <si>
    <t xml:space="preserve">35 artigos</t>
  </si>
  <si>
    <t xml:space="preserve">D – Verba a medir / a confirmar</t>
  </si>
  <si>
    <t xml:space="preserve">6 artigos</t>
  </si>
  <si>
    <t xml:space="preserve">MAPA DE QUANTIDADES PRELIMINAR</t>
  </si>
  <si>
    <t xml:space="preserve">Obra: Moradia bifamiliar – Rua da Ponte Nova 30, Apúlia (Esposende) · Requerente: M. A. S. R. Vendeiro</t>
  </si>
  <si>
    <t xml:space="preserve">Artº</t>
  </si>
  <si>
    <t xml:space="preserve">Descrição</t>
  </si>
  <si>
    <t xml:space="preserve">Un</t>
  </si>
  <si>
    <t xml:space="preserve">Quant.</t>
  </si>
  <si>
    <t xml:space="preserve">Origem / cálculo</t>
  </si>
  <si>
    <t xml:space="preserve">Confiança</t>
  </si>
  <si>
    <t xml:space="preserve">1</t>
  </si>
  <si>
    <t xml:space="preserve">ESTALEIRO, TRABALHOS PREPARATÓRIOS E DEMOLIÇÕES</t>
  </si>
  <si>
    <t xml:space="preserve">1.1</t>
  </si>
  <si>
    <t xml:space="preserve">Montagem, manutenção e desmontagem de estaleiro, incluindo vedação, sinalização, instalações e ligações provisórias</t>
  </si>
  <si>
    <t xml:space="preserve">vg</t>
  </si>
  <si>
    <t xml:space="preserve">Checklist GER-01/02</t>
  </si>
  <si>
    <t xml:space="preserve">C</t>
  </si>
  <si>
    <t xml:space="preserve">1.2</t>
  </si>
  <si>
    <t xml:space="preserve">Demolição do edifício existente, incluindo triagem, transporte e deposição de RCD em operador licenciado</t>
  </si>
  <si>
    <t xml:space="preserve">Projeto: 'demolição de edifício' – área existente não consta; medir em visita</t>
  </si>
  <si>
    <t xml:space="preserve">D</t>
  </si>
  <si>
    <t xml:space="preserve">1.3</t>
  </si>
  <si>
    <t xml:space="preserve">Plano de prevenção e gestão de RCD e implementação do PSS</t>
  </si>
  <si>
    <t xml:space="preserve">Checklist GER-06/07</t>
  </si>
  <si>
    <t xml:space="preserve">1.4</t>
  </si>
  <si>
    <t xml:space="preserve">Implantação topográfica e piquetagem</t>
  </si>
  <si>
    <t xml:space="preserve">Checklist GER-05</t>
  </si>
  <si>
    <t xml:space="preserve">2</t>
  </si>
  <si>
    <t xml:space="preserve">MOVIMENTO DE TERRAS</t>
  </si>
  <si>
    <t xml:space="preserve">2.1</t>
  </si>
  <si>
    <t xml:space="preserve">Escavação em terreno médio para abertura de caboucos de sapatas e vigas de fundação</t>
  </si>
  <si>
    <t xml:space="preserve">m³</t>
  </si>
  <si>
    <t xml:space="preserve">Calc. E16</t>
  </si>
  <si>
    <t xml:space="preserve">B</t>
  </si>
  <si>
    <t xml:space="preserve">2.2</t>
  </si>
  <si>
    <t xml:space="preserve">Aterro e compactação com material selecionado</t>
  </si>
  <si>
    <t xml:space="preserve">≈35% do escavado</t>
  </si>
  <si>
    <t xml:space="preserve">2.3</t>
  </si>
  <si>
    <t xml:space="preserve">Transporte de terras sobrantes a vazadouro</t>
  </si>
  <si>
    <t xml:space="preserve">≈65% do escavado × empolamento 1,25</t>
  </si>
  <si>
    <t xml:space="preserve">2.4</t>
  </si>
  <si>
    <t xml:space="preserve">Caixa de brita 30/50 compactada, e=0,15 m, com geotêxtil e duplo filme de polietileno sob pavimento térreo</t>
  </si>
  <si>
    <t xml:space="preserve">Calc. E17 / Estab. pormenor PT1</t>
  </si>
  <si>
    <t xml:space="preserve">3</t>
  </si>
  <si>
    <t xml:space="preserve">ESTRUTURA DE BETÃO ARMADO</t>
  </si>
  <si>
    <t xml:space="preserve">3.1</t>
  </si>
  <si>
    <t xml:space="preserve">Betão de limpeza C16/20</t>
  </si>
  <si>
    <t xml:space="preserve">Calc. E10</t>
  </si>
  <si>
    <t xml:space="preserve">3.2</t>
  </si>
  <si>
    <t xml:space="preserve">Betão em fundações C25/30 (exec. c/ bomba) – sapatas e lintéis de fundação</t>
  </si>
  <si>
    <t xml:space="preserve">Calc. E01+E02+E03</t>
  </si>
  <si>
    <t xml:space="preserve">3.3</t>
  </si>
  <si>
    <t xml:space="preserve">Betão em pilares C25/30</t>
  </si>
  <si>
    <t xml:space="preserve">Calc. E04</t>
  </si>
  <si>
    <t xml:space="preserve">3.4</t>
  </si>
  <si>
    <t xml:space="preserve">Betão em vigas C25/30</t>
  </si>
  <si>
    <t xml:space="preserve">Calc. E05</t>
  </si>
  <si>
    <t xml:space="preserve">3.5</t>
  </si>
  <si>
    <t xml:space="preserve">Laje aligeirada de vigotas pré-esforçadas 20+5 (INORBEL ou equivalente), C25/30</t>
  </si>
  <si>
    <t xml:space="preserve">m²</t>
  </si>
  <si>
    <t xml:space="preserve">Calc. E06</t>
  </si>
  <si>
    <t xml:space="preserve">3.6</t>
  </si>
  <si>
    <t xml:space="preserve">Betão em laje maciça C25/30</t>
  </si>
  <si>
    <t xml:space="preserve">Calc. E07</t>
  </si>
  <si>
    <t xml:space="preserve">3.7</t>
  </si>
  <si>
    <t xml:space="preserve">Betão em escadas C25/30</t>
  </si>
  <si>
    <t xml:space="preserve">Calc. E08</t>
  </si>
  <si>
    <t xml:space="preserve">3.8</t>
  </si>
  <si>
    <t xml:space="preserve">Pavimento térreo em betão armado com malhasol AQ50 e hidrófugo</t>
  </si>
  <si>
    <t xml:space="preserve">Calc. E09 / Estab. PT1</t>
  </si>
  <si>
    <t xml:space="preserve">3.9</t>
  </si>
  <si>
    <t xml:space="preserve">Aço A400 em varão (fornecimento e colocação)</t>
  </si>
  <si>
    <t xml:space="preserve">kg</t>
  </si>
  <si>
    <t xml:space="preserve">Calc. E11–E13 (rácios)</t>
  </si>
  <si>
    <t xml:space="preserve">3.10</t>
  </si>
  <si>
    <t xml:space="preserve">Cofragem recuperável em pilares</t>
  </si>
  <si>
    <t xml:space="preserve">Calc. E14</t>
  </si>
  <si>
    <t xml:space="preserve">3.11</t>
  </si>
  <si>
    <t xml:space="preserve">Cofragem recuperável em vigas</t>
  </si>
  <si>
    <t xml:space="preserve">Calc. E15</t>
  </si>
  <si>
    <t xml:space="preserve">3.12</t>
  </si>
  <si>
    <t xml:space="preserve">Impermeabilização de elementos enterrados com duas demãos de pintura asfáltica</t>
  </si>
  <si>
    <t xml:space="preserve">Estab. – nota elementos enterrados (≈2,5 m²/m³)</t>
  </si>
  <si>
    <t xml:space="preserve">4</t>
  </si>
  <si>
    <t xml:space="preserve">ALVENARIAS E DIVISÓRIAS</t>
  </si>
  <si>
    <t xml:space="preserve">4.1</t>
  </si>
  <si>
    <t xml:space="preserve">Parede exterior em alvenaria de bloco térmico 25 cm</t>
  </si>
  <si>
    <t xml:space="preserve">Calc. A01</t>
  </si>
  <si>
    <t xml:space="preserve">4.2</t>
  </si>
  <si>
    <t xml:space="preserve">Paredes interiores em tijolo 11</t>
  </si>
  <si>
    <t xml:space="preserve">Calc. A02 (rácio)</t>
  </si>
  <si>
    <t xml:space="preserve">4.3</t>
  </si>
  <si>
    <t xml:space="preserve">Forro interior em dupla placa de gesso cartonado com caixa de ar e lã mineral</t>
  </si>
  <si>
    <t xml:space="preserve">Calc. A03</t>
  </si>
  <si>
    <t xml:space="preserve">4.4</t>
  </si>
  <si>
    <t xml:space="preserve">Lintéis, vergas e remates de vãos em alvenaria</t>
  </si>
  <si>
    <t xml:space="preserve">m</t>
  </si>
  <si>
    <t xml:space="preserve">Térmico – contorno de caixilharia</t>
  </si>
  <si>
    <t xml:space="preserve">5</t>
  </si>
  <si>
    <t xml:space="preserve">REVESTIMENTOS E ISOLAMENTOS</t>
  </si>
  <si>
    <t xml:space="preserve">5.1</t>
  </si>
  <si>
    <t xml:space="preserve">ETICS parede exterior (isolamento 80 mm + acabamento), incluindo perfis e reforços de vãos</t>
  </si>
  <si>
    <t xml:space="preserve">Calc. A04 – confirmar EPS/XPS (divergência Acústica)</t>
  </si>
  <si>
    <t xml:space="preserve">5.2</t>
  </si>
  <si>
    <t xml:space="preserve">Reboco interior e estuque projetado em paredes</t>
  </si>
  <si>
    <t xml:space="preserve">Calc. A07</t>
  </si>
  <si>
    <t xml:space="preserve">5.3</t>
  </si>
  <si>
    <t xml:space="preserve">Pintura interior tinta plástica (2 demãos c/ primário) em paredes e tetos</t>
  </si>
  <si>
    <t xml:space="preserve">Calc. A07+A12+A13</t>
  </si>
  <si>
    <t xml:space="preserve">5.4</t>
  </si>
  <si>
    <t xml:space="preserve">Revestimento cerâmico parede interior (I.S. e cozinhas)</t>
  </si>
  <si>
    <t xml:space="preserve">Calc. A05+A06</t>
  </si>
  <si>
    <t xml:space="preserve">5.5</t>
  </si>
  <si>
    <t xml:space="preserve">Betonilha de regularização de pavimentos</t>
  </si>
  <si>
    <t xml:space="preserve">Calc. A09</t>
  </si>
  <si>
    <t xml:space="preserve">5.6</t>
  </si>
  <si>
    <t xml:space="preserve">Lajeta flutuante 8 cm com manta acústica de impacto (pavimento Fração B)</t>
  </si>
  <si>
    <t xml:space="preserve">Acústica PAVE1</t>
  </si>
  <si>
    <t xml:space="preserve">5.7</t>
  </si>
  <si>
    <t xml:space="preserve">Pavimento cerâmico (colocação e fornecimento)</t>
  </si>
  <si>
    <t xml:space="preserve">Plantas</t>
  </si>
  <si>
    <t xml:space="preserve">A</t>
  </si>
  <si>
    <t xml:space="preserve">5.8</t>
  </si>
  <si>
    <t xml:space="preserve">Rodapé</t>
  </si>
  <si>
    <t xml:space="preserve">Calc. A11</t>
  </si>
  <si>
    <t xml:space="preserve">5.9</t>
  </si>
  <si>
    <t xml:space="preserve">Tecto falso pladur BA13 com alhetas e sancas</t>
  </si>
  <si>
    <t xml:space="preserve">Calc. A12</t>
  </si>
  <si>
    <t xml:space="preserve">5.10</t>
  </si>
  <si>
    <t xml:space="preserve">Tecto falso pladur hidrófugo WA13</t>
  </si>
  <si>
    <t xml:space="preserve">Calc. A13</t>
  </si>
  <si>
    <t xml:space="preserve">5.11</t>
  </si>
  <si>
    <t xml:space="preserve">Isolamento lã de rocha 10 cm sobre teto falso</t>
  </si>
  <si>
    <t xml:space="preserve">Calc. A14</t>
  </si>
  <si>
    <t xml:space="preserve">5.12</t>
  </si>
  <si>
    <t xml:space="preserve">Isolamento térmico de pavimentos (PVE1/PVI)</t>
  </si>
  <si>
    <t xml:space="preserve">Térmico</t>
  </si>
  <si>
    <t xml:space="preserve">5.13</t>
  </si>
  <si>
    <t xml:space="preserve">Impermeabilização terraço/varanda com manta, incluindo remates e rufos</t>
  </si>
  <si>
    <t xml:space="preserve">Calc. A17</t>
  </si>
  <si>
    <t xml:space="preserve">5.14</t>
  </si>
  <si>
    <t xml:space="preserve">Pintura exterior tinta acrílica em platibandas e elementos não revestidos a ETICS</t>
  </si>
  <si>
    <t xml:space="preserve">A medir nos alçados</t>
  </si>
  <si>
    <t xml:space="preserve">6</t>
  </si>
  <si>
    <t xml:space="preserve">COBERTURA</t>
  </si>
  <si>
    <t xml:space="preserve">6.1</t>
  </si>
  <si>
    <t xml:space="preserve">Cobertura inclinada: estrutura, subtelha, ripado, telha, cumeeiras e beirados</t>
  </si>
  <si>
    <t xml:space="preserve">Calc. A16 – tipo de telha a confirmar</t>
  </si>
  <si>
    <t xml:space="preserve">6.2</t>
  </si>
  <si>
    <t xml:space="preserve">Isolamento térmico da laje de esteira (desvão) – incluído em 5.11</t>
  </si>
  <si>
    <t xml:space="preserve">Incluído em 5.11</t>
  </si>
  <si>
    <t xml:space="preserve">6.3</t>
  </si>
  <si>
    <t xml:space="preserve">Acesso à cobertura (alçapão) e linha de vida</t>
  </si>
  <si>
    <t xml:space="preserve">Checklist ARQ-20</t>
  </si>
  <si>
    <t xml:space="preserve">7</t>
  </si>
  <si>
    <t xml:space="preserve">VÃOS EXTERIORES E CARPINTARIAS</t>
  </si>
  <si>
    <t xml:space="preserve">7.1</t>
  </si>
  <si>
    <t xml:space="preserve">Caixilharia em alumínio com corte térmico, classe 4, vidro duplo g=0,42</t>
  </si>
  <si>
    <t xml:space="preserve">Calc. A18 (Térmico)</t>
  </si>
  <si>
    <t xml:space="preserve">7.2</t>
  </si>
  <si>
    <t xml:space="preserve">Estores de rolo motorizados em lâminas de alumínio, incl. caixa de estore isolada</t>
  </si>
  <si>
    <t xml:space="preserve">Térmico – caixas de estore</t>
  </si>
  <si>
    <t xml:space="preserve">7.3</t>
  </si>
  <si>
    <t xml:space="preserve">Porta exterior blindada 90cm</t>
  </si>
  <si>
    <t xml:space="preserve">un</t>
  </si>
  <si>
    <t xml:space="preserve">Térmico VOE1</t>
  </si>
  <si>
    <t xml:space="preserve">7.4</t>
  </si>
  <si>
    <t xml:space="preserve">Porta interior pré-fabricada MDF lacada</t>
  </si>
  <si>
    <t xml:space="preserve">7.5</t>
  </si>
  <si>
    <t xml:space="preserve">Peitoris e soleiras em pedra com pingadeira</t>
  </si>
  <si>
    <t xml:space="preserve">Calc. A22</t>
  </si>
  <si>
    <t xml:space="preserve">7.6</t>
  </si>
  <si>
    <t xml:space="preserve">Guarda-corpo em terraço/varanda</t>
  </si>
  <si>
    <t xml:space="preserve">7.7</t>
  </si>
  <si>
    <t xml:space="preserve">Cozinhas (móveis, bancada) – confirmar se incluídas na empreitada</t>
  </si>
  <si>
    <t xml:space="preserve">Plantas – 2 cozinhas</t>
  </si>
  <si>
    <t xml:space="preserve">8</t>
  </si>
  <si>
    <t xml:space="preserve">ÁGUAS (ABASTECIMENTO)</t>
  </si>
  <si>
    <t xml:space="preserve">8.1</t>
  </si>
  <si>
    <t xml:space="preserve">Tubagem PPR PN20 D20 (abastecimento interior)</t>
  </si>
  <si>
    <t xml:space="preserve">Águas – medição</t>
  </si>
  <si>
    <t xml:space="preserve">8.2</t>
  </si>
  <si>
    <t xml:space="preserve">Tubagem PPR PN20 D25</t>
  </si>
  <si>
    <t xml:space="preserve">8.3</t>
  </si>
  <si>
    <t xml:space="preserve">Tubagem PPR PN20 D32</t>
  </si>
  <si>
    <t xml:space="preserve">8.4</t>
  </si>
  <si>
    <t xml:space="preserve">Ramal abastecimento água PE100 D32 / PEAD Ø25-32 enterrado</t>
  </si>
  <si>
    <t xml:space="preserve">8.5</t>
  </si>
  <si>
    <t xml:space="preserve">Válvulas de seccionamento</t>
  </si>
  <si>
    <t xml:space="preserve">Águas – medição (8+8)</t>
  </si>
  <si>
    <t xml:space="preserve">8.6</t>
  </si>
  <si>
    <t xml:space="preserve">Bomba de calor monobloco para AQS c/ acumulador (200 L T2 + 300 L T3)</t>
  </si>
  <si>
    <t xml:space="preserve">Águas 3.6 – ZANTIA Regina MAX</t>
  </si>
  <si>
    <t xml:space="preserve">8.7</t>
  </si>
  <si>
    <t xml:space="preserve">Isolamento de tubagem de água quente</t>
  </si>
  <si>
    <t xml:space="preserve">≈50% da rede interior</t>
  </si>
  <si>
    <t xml:space="preserve">8.8</t>
  </si>
  <si>
    <t xml:space="preserve">Ensaios de estanquidade e desinfeção</t>
  </si>
  <si>
    <t xml:space="preserve">Checklist AAG-11</t>
  </si>
  <si>
    <t xml:space="preserve">9</t>
  </si>
  <si>
    <t xml:space="preserve">DRENAGEM DE ÁGUAS RESIDUAIS</t>
  </si>
  <si>
    <t xml:space="preserve">9.1</t>
  </si>
  <si>
    <t xml:space="preserve">Ramal de descarga PVC D50 (esgoto)</t>
  </si>
  <si>
    <t xml:space="preserve">Residuais – medição</t>
  </si>
  <si>
    <t xml:space="preserve">9.2</t>
  </si>
  <si>
    <t xml:space="preserve">Ramal de descarga PVC D75</t>
  </si>
  <si>
    <t xml:space="preserve">9.3</t>
  </si>
  <si>
    <t xml:space="preserve">Tubo queda PVC D90 (esgoto) e ventilação primária</t>
  </si>
  <si>
    <t xml:space="preserve">9.4</t>
  </si>
  <si>
    <t xml:space="preserve">Coletor PVC SN4 Ø110 enterrado</t>
  </si>
  <si>
    <t xml:space="preserve">9.5</t>
  </si>
  <si>
    <t xml:space="preserve">Coletor PVC SN4 Ø125 enterrado</t>
  </si>
  <si>
    <t xml:space="preserve">9.6</t>
  </si>
  <si>
    <t xml:space="preserve">Ventilação secundária PVC Ø40</t>
  </si>
  <si>
    <t xml:space="preserve">9.7</t>
  </si>
  <si>
    <t xml:space="preserve">Caixa de visita betão D60 (h até 1,2m)</t>
  </si>
  <si>
    <t xml:space="preserve">9.8</t>
  </si>
  <si>
    <t xml:space="preserve">Válvula antirretorno na ligação à rede pública (exigência cadastro EAmb)</t>
  </si>
  <si>
    <t xml:space="preserve">Cadastro Esposende Ambiente – OMISSÃO no projeto</t>
  </si>
  <si>
    <t xml:space="preserve">10</t>
  </si>
  <si>
    <t xml:space="preserve">DRENAGEM DE ÁGUAS PLUVIAIS</t>
  </si>
  <si>
    <t xml:space="preserve">10.1</t>
  </si>
  <si>
    <t xml:space="preserve">Tubo de queda PVC Ø90 pluviais</t>
  </si>
  <si>
    <t xml:space="preserve">Pluviais – medição</t>
  </si>
  <si>
    <t xml:space="preserve">10.2</t>
  </si>
  <si>
    <t xml:space="preserve">Coletor PVC Ø110</t>
  </si>
  <si>
    <t xml:space="preserve">10.3</t>
  </si>
  <si>
    <t xml:space="preserve">Ramais PVC Ø50/Ø75</t>
  </si>
  <si>
    <t xml:space="preserve">10.4</t>
  </si>
  <si>
    <t xml:space="preserve">Caleira semicircular Ø110 e rufos</t>
  </si>
  <si>
    <t xml:space="preserve">10.5</t>
  </si>
  <si>
    <t xml:space="preserve">Caixa de visita betão D60 (h até 1,2m) – pluviais</t>
  </si>
  <si>
    <t xml:space="preserve">10.6</t>
  </si>
  <si>
    <t xml:space="preserve">Poço de infiltração em argolas de betão Ø1,00 m, h=2,00 m, com godo e geotêxtil</t>
  </si>
  <si>
    <t xml:space="preserve">Pluviais – des. 05/06 (não medido no projeto)</t>
  </si>
  <si>
    <t xml:space="preserve">11</t>
  </si>
  <si>
    <t xml:space="preserve">LOIÇAS SANITÁRIAS E EQUIPAMENTO</t>
  </si>
  <si>
    <t xml:space="preserve">11.1</t>
  </si>
  <si>
    <t xml:space="preserve">Conjunto sanita + autoclismo + assento</t>
  </si>
  <si>
    <t xml:space="preserve">Residuais – descargas</t>
  </si>
  <si>
    <t xml:space="preserve">11.2</t>
  </si>
  <si>
    <t xml:space="preserve">Lavatório com móvel</t>
  </si>
  <si>
    <t xml:space="preserve">11.3</t>
  </si>
  <si>
    <t xml:space="preserve">Base de duche e resguardo</t>
  </si>
  <si>
    <t xml:space="preserve">11.4</t>
  </si>
  <si>
    <t xml:space="preserve">Torneira misturadora (louça sanitária excluída)</t>
  </si>
  <si>
    <t xml:space="preserve">Lavatórios + chuveiros + lava-louças</t>
  </si>
  <si>
    <t xml:space="preserve">11.5</t>
  </si>
  <si>
    <t xml:space="preserve">Pia lava-louça</t>
  </si>
  <si>
    <t xml:space="preserve">12</t>
  </si>
  <si>
    <t xml:space="preserve">INSTALAÇÕES ELÉTRICAS</t>
  </si>
  <si>
    <t xml:space="preserve">12.1</t>
  </si>
  <si>
    <t xml:space="preserve">Portinhola PBT-Tri, ramal subterrâneo PEAD Ø90 e pedido de ligação</t>
  </si>
  <si>
    <t xml:space="preserve">Elétrico – diagrama</t>
  </si>
  <si>
    <t xml:space="preserve">12.2</t>
  </si>
  <si>
    <t xml:space="preserve">Quadro de contagem centralizada (QCC) com botoneira de corte geral</t>
  </si>
  <si>
    <t xml:space="preserve">Elétrico – des. 05</t>
  </si>
  <si>
    <t xml:space="preserve">12.3</t>
  </si>
  <si>
    <t xml:space="preserve">Quadro eléctrico geral até 24 disjuntores (habitação)</t>
  </si>
  <si>
    <t xml:space="preserve">Elétrico – QH A e B</t>
  </si>
  <si>
    <t xml:space="preserve">12.4</t>
  </si>
  <si>
    <t xml:space="preserve">Quadro de serviços comuns (QSC)</t>
  </si>
  <si>
    <t xml:space="preserve">12.5</t>
  </si>
  <si>
    <t xml:space="preserve">Colunas XZ1 3G10 em PEAD Ø50 (QCC→QH)</t>
  </si>
  <si>
    <t xml:space="preserve">Elétrico – diagrama (comprimento estimado)</t>
  </si>
  <si>
    <t xml:space="preserve">12.6</t>
  </si>
  <si>
    <t xml:space="preserve">Ponto de luz (caixa + ligações)</t>
  </si>
  <si>
    <t xml:space="preserve">Calc. L01 (rácio)</t>
  </si>
  <si>
    <t xml:space="preserve">12.7</t>
  </si>
  <si>
    <t xml:space="preserve">Tomada dupla encastrada</t>
  </si>
  <si>
    <t xml:space="preserve">Calc. L02 (rácio)</t>
  </si>
  <si>
    <t xml:space="preserve">12.8</t>
  </si>
  <si>
    <t xml:space="preserve">Elétrodo de terra, ligador amovível e ligações equipotenciais</t>
  </si>
  <si>
    <t xml:space="preserve">Elétrico – MD 1.10</t>
  </si>
  <si>
    <t xml:space="preserve">12.9</t>
  </si>
  <si>
    <t xml:space="preserve">Infraestrutura para carregador EV: tubo Ø40 e caixa terminal (pré-instalação)</t>
  </si>
  <si>
    <t xml:space="preserve">Elétrico – des. 02</t>
  </si>
  <si>
    <t xml:space="preserve">12.10</t>
  </si>
  <si>
    <t xml:space="preserve">Videoporteiro básico</t>
  </si>
  <si>
    <t xml:space="preserve">Elétrico – MD 1.14</t>
  </si>
  <si>
    <t xml:space="preserve">12.11</t>
  </si>
  <si>
    <t xml:space="preserve">Luminárias – confirmar se incluídas</t>
  </si>
  <si>
    <t xml:space="preserve">Não definido no projeto</t>
  </si>
  <si>
    <t xml:space="preserve">12.12</t>
  </si>
  <si>
    <t xml:space="preserve">Certificação/inspeção da instalação elétrica</t>
  </si>
  <si>
    <t xml:space="preserve">Checklist ELE-15</t>
  </si>
  <si>
    <t xml:space="preserve">13</t>
  </si>
  <si>
    <t xml:space="preserve">ITED</t>
  </si>
  <si>
    <t xml:space="preserve">13.1</t>
  </si>
  <si>
    <t xml:space="preserve">Tubo isogris Ø25</t>
  </si>
  <si>
    <t xml:space="preserve">ITED – MQ do projeto</t>
  </si>
  <si>
    <t xml:space="preserve">13.2</t>
  </si>
  <si>
    <t xml:space="preserve">Tubo PEAD corrugado Ø40</t>
  </si>
  <si>
    <t xml:space="preserve">13.3</t>
  </si>
  <si>
    <t xml:space="preserve">Caixa de aparelhagem funda I1</t>
  </si>
  <si>
    <t xml:space="preserve">13.4</t>
  </si>
  <si>
    <t xml:space="preserve">Armário ATE INF completo (RG-PC, RG-CC, RG-FO)</t>
  </si>
  <si>
    <t xml:space="preserve">ITED – MD exige ATE INF; MQ do projeto tem 0 → CORRIGIDO</t>
  </si>
  <si>
    <t xml:space="preserve">13.5</t>
  </si>
  <si>
    <t xml:space="preserve">CVM equipada com tampa (Telecomunicações)</t>
  </si>
  <si>
    <t xml:space="preserve">13.6</t>
  </si>
  <si>
    <t xml:space="preserve">Cabo U/UTP Cat6 LSZH</t>
  </si>
  <si>
    <t xml:space="preserve">13.7</t>
  </si>
  <si>
    <t xml:space="preserve">Cabo coaxial interior TCD-C</t>
  </si>
  <si>
    <t xml:space="preserve">13.8</t>
  </si>
  <si>
    <t xml:space="preserve">Cabo coaxial exterior (antena-ATE)</t>
  </si>
  <si>
    <t xml:space="preserve">13.9</t>
  </si>
  <si>
    <t xml:space="preserve">Cabo de fibra óptica 2 fibras G.657A</t>
  </si>
  <si>
    <t xml:space="preserve">13.10</t>
  </si>
  <si>
    <t xml:space="preserve">ATI rack 6PC+6CC+2FO equipado</t>
  </si>
  <si>
    <t xml:space="preserve">13.11</t>
  </si>
  <si>
    <t xml:space="preserve">Tomada RJ45 Cat6</t>
  </si>
  <si>
    <t xml:space="preserve">13.12</t>
  </si>
  <si>
    <t xml:space="preserve">Tomada coaxial TV</t>
  </si>
  <si>
    <t xml:space="preserve">13.13</t>
  </si>
  <si>
    <t xml:space="preserve">Tomada de fibra óptica com 2 saídas SC/APC</t>
  </si>
  <si>
    <t xml:space="preserve">13.14</t>
  </si>
  <si>
    <t xml:space="preserve">Sistema de antenas TDT: antena, mastro, descarregador de sobretensões e cabeça de rede</t>
  </si>
  <si>
    <t xml:space="preserve">13.15</t>
  </si>
  <si>
    <t xml:space="preserve">Rede de terras da ITED</t>
  </si>
  <si>
    <t xml:space="preserve">13.16</t>
  </si>
  <si>
    <t xml:space="preserve">Ensaios, relatório REF e certificação ITED</t>
  </si>
  <si>
    <t xml:space="preserve">14</t>
  </si>
  <si>
    <t xml:space="preserve">GÁS</t>
  </si>
  <si>
    <t xml:space="preserve">14.1</t>
  </si>
  <si>
    <t xml:space="preserve">Ramal de gás em PE Ø32 enterrado (CX1→CX2) com banda de pré-aviso</t>
  </si>
  <si>
    <t xml:space="preserve">Gás – cálculo (frações A e B)</t>
  </si>
  <si>
    <t xml:space="preserve">14.2</t>
  </si>
  <si>
    <t xml:space="preserve">Tubagem cobre D22 embebida com revestimento</t>
  </si>
  <si>
    <t xml:space="preserve">Gás – estimativa (CX2→caldeira)</t>
  </si>
  <si>
    <t xml:space="preserve">14.3</t>
  </si>
  <si>
    <t xml:space="preserve">Caixa de contador S2300 com válvula, redutor B6 e ligação à terra</t>
  </si>
  <si>
    <t xml:space="preserve">Gás – MD 5.1</t>
  </si>
  <si>
    <t xml:space="preserve">14.4</t>
  </si>
  <si>
    <t xml:space="preserve">Ensaios, inspeção e certificação da instalação de gás</t>
  </si>
  <si>
    <t xml:space="preserve">Gás – MD 9</t>
  </si>
  <si>
    <t xml:space="preserve">15</t>
  </si>
  <si>
    <t xml:space="preserve">AVAC E VENTILAÇÃO</t>
  </si>
  <si>
    <t xml:space="preserve">15.1</t>
  </si>
  <si>
    <t xml:space="preserve">Caldeira condensação 24kW (A+) com conduta de evacuação</t>
  </si>
  <si>
    <t xml:space="preserve">AVAC 5 / Gás 3</t>
  </si>
  <si>
    <t xml:space="preserve">15.2</t>
  </si>
  <si>
    <t xml:space="preserve">Radiadores hidráulicos com válvulas termostáticas</t>
  </si>
  <si>
    <t xml:space="preserve">Calc. V01 (estimativa)</t>
  </si>
  <si>
    <t xml:space="preserve">15.3</t>
  </si>
  <si>
    <t xml:space="preserve">Rede de tubagem de aquecimento multicamada isolada</t>
  </si>
  <si>
    <t xml:space="preserve">Calc. V02 (estimativa)</t>
  </si>
  <si>
    <t xml:space="preserve">15.4</t>
  </si>
  <si>
    <t xml:space="preserve">Ventilador de extração das I.S. com condutas e saída à cobertura</t>
  </si>
  <si>
    <t xml:space="preserve">AVAC 9.1.4 – 1 por WC</t>
  </si>
  <si>
    <t xml:space="preserve">15.5</t>
  </si>
  <si>
    <t xml:space="preserve">Grelhas de admissão de ar e bocas de extração</t>
  </si>
  <si>
    <t xml:space="preserve">AVAC 9.1.5–9.1.7 (estimativa)</t>
  </si>
  <si>
    <t xml:space="preserve">15.6</t>
  </si>
  <si>
    <t xml:space="preserve">Exaustor de cozinha e conduta até ao exterior</t>
  </si>
  <si>
    <t xml:space="preserve">Checklist AVA-03</t>
  </si>
  <si>
    <t xml:space="preserve">16</t>
  </si>
  <si>
    <t xml:space="preserve">SCIE E DIVERSOS</t>
  </si>
  <si>
    <t xml:space="preserve">16.1</t>
  </si>
  <si>
    <t xml:space="preserve">Hidrante na via pública junto à entrada (a cargo do dono de obra)</t>
  </si>
  <si>
    <t xml:space="preserve">SCIE – ficha ponto 9.1</t>
  </si>
  <si>
    <t xml:space="preserve">16.2</t>
  </si>
  <si>
    <t xml:space="preserve">Limpeza final de obra</t>
  </si>
  <si>
    <t xml:space="preserve">Checklist GER-09</t>
  </si>
  <si>
    <t xml:space="preserve">16.3</t>
  </si>
  <si>
    <t xml:space="preserve">Telas finais e compilação técnica</t>
  </si>
  <si>
    <t xml:space="preserve">Checklist GER-10</t>
  </si>
  <si>
    <t xml:space="preserve">16.4</t>
  </si>
  <si>
    <t xml:space="preserve">Arranjos exteriores (pavimentos, muros, portões, ajardinamento)</t>
  </si>
  <si>
    <t xml:space="preserve">Não definidos no projeto – medir</t>
  </si>
  <si>
    <t xml:space="preserve">16.5</t>
  </si>
  <si>
    <t xml:space="preserve">Taxas de ligação às redes públicas (entidades gestoras)</t>
  </si>
  <si>
    <t xml:space="preserve">Checklist LIC-01</t>
  </si>
  <si>
    <t xml:space="preserve">CÁLCULOS AUXILIARES (fórmulas rastreáveis)</t>
  </si>
  <si>
    <t xml:space="preserve">ID</t>
  </si>
  <si>
    <t xml:space="preserve">Expressão</t>
  </si>
  <si>
    <t xml:space="preserve">Resultado</t>
  </si>
  <si>
    <t xml:space="preserve">Fonte</t>
  </si>
  <si>
    <t xml:space="preserve">Conf.</t>
  </si>
  <si>
    <t xml:space="preserve">D01</t>
  </si>
  <si>
    <t xml:space="preserve">Área útil Fração A (T2, RC)</t>
  </si>
  <si>
    <t xml:space="preserve">77.5</t>
  </si>
  <si>
    <t xml:space="preserve">Térmico – Ficha 1 Fração A</t>
  </si>
  <si>
    <t xml:space="preserve">D02</t>
  </si>
  <si>
    <t xml:space="preserve">Área útil Fração B (T3, andar)</t>
  </si>
  <si>
    <t xml:space="preserve">125.5</t>
  </si>
  <si>
    <t xml:space="preserve">Térmico – Ficha 1 Fração B</t>
  </si>
  <si>
    <t xml:space="preserve">D03</t>
  </si>
  <si>
    <t xml:space="preserve">Área bruta de construção</t>
  </si>
  <si>
    <t xml:space="preserve">390.6</t>
  </si>
  <si>
    <t xml:space="preserve">Arquitetura – estimativa custo / SCIE ficha</t>
  </si>
  <si>
    <t xml:space="preserve">D04</t>
  </si>
  <si>
    <t xml:space="preserve">Paredes exteriores PDE1 Fração A (opaco)</t>
  </si>
  <si>
    <t xml:space="preserve">12.70+3.60+13.45</t>
  </si>
  <si>
    <t xml:space="preserve">Térmico – Folha cálculo A (A.1)</t>
  </si>
  <si>
    <t xml:space="preserve">D05</t>
  </si>
  <si>
    <t xml:space="preserve">Paredes exteriores PDE1 Fração B (opaco)</t>
  </si>
  <si>
    <t xml:space="preserve">20.45+10.30+10.55</t>
  </si>
  <si>
    <t xml:space="preserve">Térmico – Folha cálculo B (A.1)</t>
  </si>
  <si>
    <t xml:space="preserve">D06</t>
  </si>
  <si>
    <t xml:space="preserve">Pontes térmicas planas PTPPDE1 (A+B)</t>
  </si>
  <si>
    <t xml:space="preserve">0.90+0.90+1.75+2.60</t>
  </si>
  <si>
    <t xml:space="preserve">Térmico – Folhas A e B</t>
  </si>
  <si>
    <t xml:space="preserve">D07</t>
  </si>
  <si>
    <t xml:space="preserve">Envidraçados Fração A</t>
  </si>
  <si>
    <t xml:space="preserve">31.32/1.80</t>
  </si>
  <si>
    <t xml:space="preserve">Térmico – ΣU.A / U (1,80)</t>
  </si>
  <si>
    <t xml:space="preserve">D08</t>
  </si>
  <si>
    <t xml:space="preserve">Envidraçados Fração B</t>
  </si>
  <si>
    <t xml:space="preserve">50.94/1.80</t>
  </si>
  <si>
    <t xml:space="preserve">D09</t>
  </si>
  <si>
    <t xml:space="preserve">Paredes em contacto com edifício adjacente PDI2 (A+B)</t>
  </si>
  <si>
    <t xml:space="preserve">27.75+44.15</t>
  </si>
  <si>
    <t xml:space="preserve">Térmico – Folhas A e B (A.2)</t>
  </si>
  <si>
    <t xml:space="preserve">D10</t>
  </si>
  <si>
    <t xml:space="preserve">Paredes em contacto com área técnica PDI1 (A+B)</t>
  </si>
  <si>
    <t xml:space="preserve">10.15+7.05</t>
  </si>
  <si>
    <t xml:space="preserve">D11</t>
  </si>
  <si>
    <t xml:space="preserve">Cobertura exterior CBE1 (A)</t>
  </si>
  <si>
    <t xml:space="preserve">19.05</t>
  </si>
  <si>
    <t xml:space="preserve">Térmico – Folha A</t>
  </si>
  <si>
    <t xml:space="preserve">D12</t>
  </si>
  <si>
    <t xml:space="preserve">Laje sob desvão de cobertura CBI1 (B)</t>
  </si>
  <si>
    <t xml:space="preserve">113.75</t>
  </si>
  <si>
    <t xml:space="preserve">Térmico – Folha B</t>
  </si>
  <si>
    <t xml:space="preserve">D13</t>
  </si>
  <si>
    <t xml:space="preserve">Pavimento sobre exterior PVE1 (B)</t>
  </si>
  <si>
    <t xml:space="preserve">36.95</t>
  </si>
  <si>
    <t xml:space="preserve">D14</t>
  </si>
  <si>
    <t xml:space="preserve">Pavimento sobre desvão sanitário PVI1 (A) + PVI1/PVI2 (B)</t>
  </si>
  <si>
    <t xml:space="preserve">77.55+10.80+3.45</t>
  </si>
  <si>
    <t xml:space="preserve">D15</t>
  </si>
  <si>
    <t xml:space="preserve">Comprimento de contorno de caixilharia (A+B)</t>
  </si>
  <si>
    <t xml:space="preserve">29.00+50.95</t>
  </si>
  <si>
    <t xml:space="preserve">Térmico – pontes térmicas lineares</t>
  </si>
  <si>
    <t xml:space="preserve">D16</t>
  </si>
  <si>
    <t xml:space="preserve">Comprimento de caixas de estore (A+B)</t>
  </si>
  <si>
    <t xml:space="preserve">7.05+13.80</t>
  </si>
  <si>
    <t xml:space="preserve">D17</t>
  </si>
  <si>
    <t xml:space="preserve">Área de cobertura drenada (projeção)</t>
  </si>
  <si>
    <t xml:space="preserve">70.66+75.73</t>
  </si>
  <si>
    <t xml:space="preserve">Pluviais – tubos de queda P1+P2</t>
  </si>
  <si>
    <t xml:space="preserve">D18</t>
  </si>
  <si>
    <t xml:space="preserve">Terraços / varandas drenados (piso 2)</t>
  </si>
  <si>
    <t xml:space="preserve">50.77+44.12+2.85</t>
  </si>
  <si>
    <t xml:space="preserve">Pluviais – ramais A1+A2+A3</t>
  </si>
  <si>
    <t xml:space="preserve">D19</t>
  </si>
  <si>
    <t xml:space="preserve">Áreas compartimentos RC (Fração A)</t>
  </si>
  <si>
    <t xml:space="preserve">1.33+2.50+3.48+4.16+10.69+10.92+37.81+10.18</t>
  </si>
  <si>
    <t xml:space="preserve">Plantas (legendas nos PDF Gás/Residuais)</t>
  </si>
  <si>
    <t xml:space="preserve">D20</t>
  </si>
  <si>
    <t xml:space="preserve">Áreas compartimentos andar (Fração B)</t>
  </si>
  <si>
    <t xml:space="preserve">4.00+18.86+13.94+4.69+30.35+11.97+4.25+12.18</t>
  </si>
  <si>
    <t xml:space="preserve">E01</t>
  </si>
  <si>
    <t xml:space="preserve">Volume sapatas do quadro (P4,P7,P9,P12,P13,P14,P15,P22,P16,P18,P17,P19,P20,P21,P5-6,P11-24)</t>
  </si>
  <si>
    <t xml:space="preserve">3*1.35*1.35*0.4+1.85*0.95*0.4+2.6*1.3*0.6+2.1*1*0.4+2*1.4*0.8*0.4+2*1.35*1.35*0.4+1.65*1.65*0.4+2*0.8*1.4*0.4+0.9*0.9*0.4+2.3*0.9*0.4+3.4*1.35*0.4</t>
  </si>
  <si>
    <t xml:space="preserve">Estabilidade – Quadro de sapatas (des. 01)</t>
  </si>
  <si>
    <t xml:space="preserve">E02</t>
  </si>
  <si>
    <t xml:space="preserve">Sapatas P1,P2,P3,P8 (não constam do quadro – assumido 1,00×1,00×0,40)</t>
  </si>
  <si>
    <t xml:space="preserve">4*1*1*0.4</t>
  </si>
  <si>
    <t xml:space="preserve">Pressuposto – pedir esclarecimento</t>
  </si>
  <si>
    <t xml:space="preserve">E03</t>
  </si>
  <si>
    <t xml:space="preserve">Vigas de fundação VF1 (≈75 m × 0,30 × 0,40 – secção não legível)</t>
  </si>
  <si>
    <t xml:space="preserve">75*0.30*0.40</t>
  </si>
  <si>
    <t xml:space="preserve">Estimativa – perímetro implantação ≈50 m + alinhamentos interiores ≈25 m</t>
  </si>
  <si>
    <t xml:space="preserve">E04</t>
  </si>
  <si>
    <t xml:space="preserve">Pilares (22 un × secção média 0,25×0,40 × altura média 6,4 m)</t>
  </si>
  <si>
    <t xml:space="preserve">22*0.25*0.40*6.4</t>
  </si>
  <si>
    <t xml:space="preserve">Estabilidade – quadro pilares (22 un); altura 2×3,20 m</t>
  </si>
  <si>
    <t xml:space="preserve">E05</t>
  </si>
  <si>
    <t xml:space="preserve">Vigas (≈180 m × secção média 0,25×0,40)</t>
  </si>
  <si>
    <t xml:space="preserve">180*0.25*0.40</t>
  </si>
  <si>
    <t xml:space="preserve">Estabilidade – pórticos piso 1, piso 2, cobertura (estimativa de comprimentos)</t>
  </si>
  <si>
    <t xml:space="preserve">E06</t>
  </si>
  <si>
    <t xml:space="preserve">Lajes aligeiradas 20+5 (piso 2 + cobertura)</t>
  </si>
  <si>
    <t xml:space="preserve">D02+D12+D11</t>
  </si>
  <si>
    <t xml:space="preserve">Térmico: área piso B (125,5) + CBI1 + CBE1</t>
  </si>
  <si>
    <t xml:space="preserve">E07</t>
  </si>
  <si>
    <t xml:space="preserve">Lajes maciças LM1 h=0,25 (varandas/patamares ≈15 m²)</t>
  </si>
  <si>
    <t xml:space="preserve">15*0.25</t>
  </si>
  <si>
    <t xml:space="preserve">Estimativa – plantas estruturais</t>
  </si>
  <si>
    <t xml:space="preserve">E08</t>
  </si>
  <si>
    <t xml:space="preserve">Escada interior em betão armado</t>
  </si>
  <si>
    <t xml:space="preserve">Estimativa – 1 escada (2 lanços + patamar)</t>
  </si>
  <si>
    <t xml:space="preserve">E09</t>
  </si>
  <si>
    <t xml:space="preserve">Pavimento térreo PT1 (laje térrea sobre brita) – implantação RC</t>
  </si>
  <si>
    <t xml:space="preserve">D19+10</t>
  </si>
  <si>
    <t xml:space="preserve">Áreas RC + paredes (≈10 m²)</t>
  </si>
  <si>
    <t xml:space="preserve">E10</t>
  </si>
  <si>
    <t xml:space="preserve">Betão de limpeza (sapatas + VF, e=0,10)</t>
  </si>
  <si>
    <t xml:space="preserve">(E01+E02)/0.4*0.10+75*0.30*0.10</t>
  </si>
  <si>
    <t xml:space="preserve">Calculado de E01–E03</t>
  </si>
  <si>
    <t xml:space="preserve">E11</t>
  </si>
  <si>
    <t xml:space="preserve">Aço A400 – fundações (≈60 kg/m³)</t>
  </si>
  <si>
    <t xml:space="preserve">(E01+E02+E03)*60</t>
  </si>
  <si>
    <t xml:space="preserve">Rácio corrente</t>
  </si>
  <si>
    <t xml:space="preserve">E12</t>
  </si>
  <si>
    <t xml:space="preserve">Aço A400 – pilares e vigas (≈130 kg/m³)</t>
  </si>
  <si>
    <t xml:space="preserve">(E04+E05)*130</t>
  </si>
  <si>
    <t xml:space="preserve">E13</t>
  </si>
  <si>
    <t xml:space="preserve">Aço A400 – lajes maciças e escada (≈90 kg/m³)</t>
  </si>
  <si>
    <t xml:space="preserve">(E07+E08)*90</t>
  </si>
  <si>
    <t xml:space="preserve">E14</t>
  </si>
  <si>
    <t xml:space="preserve">Cofragem pilares (perímetro médio 1,30 m × 6,4 m × 22)</t>
  </si>
  <si>
    <t xml:space="preserve">22*1.30*6.4</t>
  </si>
  <si>
    <t xml:space="preserve">Calculado de E04</t>
  </si>
  <si>
    <t xml:space="preserve">E15</t>
  </si>
  <si>
    <t xml:space="preserve">Cofragem vigas ((2×0,40+0,25) × 180 m)</t>
  </si>
  <si>
    <t xml:space="preserve">(2*0.40+0.25)*180</t>
  </si>
  <si>
    <t xml:space="preserve">Calculado de E05</t>
  </si>
  <si>
    <t xml:space="preserve">E16</t>
  </si>
  <si>
    <t xml:space="preserve">Escavação caboucos (sapatas+VF ×1,3)</t>
  </si>
  <si>
    <t xml:space="preserve">(E01+E02+E03)*1.3</t>
  </si>
  <si>
    <t xml:space="preserve">Calculado</t>
  </si>
  <si>
    <t xml:space="preserve">E17</t>
  </si>
  <si>
    <t xml:space="preserve">Caixa de brita 30/50 e=0,15 sob PT1</t>
  </si>
  <si>
    <t xml:space="preserve">E09*0.15</t>
  </si>
  <si>
    <t xml:space="preserve">Estabilidade – pormenor PT1</t>
  </si>
  <si>
    <t xml:space="preserve">A01</t>
  </si>
  <si>
    <t xml:space="preserve">Alvenaria exterior bloco térmico 25 cm (PDE1 + PDI1 + PDI2)</t>
  </si>
  <si>
    <t xml:space="preserve">D04+D05+D10+D09</t>
  </si>
  <si>
    <t xml:space="preserve">Térmico (áreas opacas)</t>
  </si>
  <si>
    <t xml:space="preserve">A02</t>
  </si>
  <si>
    <t xml:space="preserve">Paredes divisórias interiores (≈0,9 × área útil, já descontados vãos)</t>
  </si>
  <si>
    <t xml:space="preserve">0.9*(D01+D02)</t>
  </si>
  <si>
    <t xml:space="preserve">Rácio corrente habitação</t>
  </si>
  <si>
    <t xml:space="preserve">A03</t>
  </si>
  <si>
    <t xml:space="preserve">Forro interior gesso cartonado das paredes envolventes (PDE1+PTP+PDI1+PDI2)</t>
  </si>
  <si>
    <t xml:space="preserve">D04+D05+D06+D10+D09</t>
  </si>
  <si>
    <t xml:space="preserve">Térmico/Acústica – PDE1 com dupla placa GC + caixa de ar</t>
  </si>
  <si>
    <t xml:space="preserve">A04</t>
  </si>
  <si>
    <t xml:space="preserve">ETICS (PDE1+PTP + retornos de vãos 0,20 m)</t>
  </si>
  <si>
    <t xml:space="preserve">D04+D05+D06+D15*0.20</t>
  </si>
  <si>
    <t xml:space="preserve">A05</t>
  </si>
  <si>
    <t xml:space="preserve">Revestimento cerâmico paredes I.S. (4 WC, h=2,40)</t>
  </si>
  <si>
    <t xml:space="preserve">(4*SQRT(2.50)+4*SQRT(4.16)+4*SQRT(4.00)+4*SQRT(4.69))*2.40-4*1.60</t>
  </si>
  <si>
    <t xml:space="preserve">Áreas WC (plantas) – perímetro ≈4√A</t>
  </si>
  <si>
    <t xml:space="preserve">A06</t>
  </si>
  <si>
    <t xml:space="preserve">Revestimento cerâmico paredes cozinhas (frente de bancada)</t>
  </si>
  <si>
    <t xml:space="preserve">Estimativa – 2 cozinhas</t>
  </si>
  <si>
    <t xml:space="preserve">A07</t>
  </si>
  <si>
    <t xml:space="preserve">Estuque/reboco e pintura paredes interiores (divisórias 2 faces + forros – cerâmicos)</t>
  </si>
  <si>
    <t xml:space="preserve">2*A02+A03-A05-A06</t>
  </si>
  <si>
    <t xml:space="preserve">A08</t>
  </si>
  <si>
    <t xml:space="preserve">Pavimento cerâmico interior (áreas úteis)</t>
  </si>
  <si>
    <t xml:space="preserve">D19+D20</t>
  </si>
  <si>
    <t xml:space="preserve">A09</t>
  </si>
  <si>
    <t xml:space="preserve">Betonilha de regularização (pavimentos interiores)</t>
  </si>
  <si>
    <t xml:space="preserve">A10</t>
  </si>
  <si>
    <t xml:space="preserve">Lajeta flutuante + manta acústica (pavimento Fração B sobre A)</t>
  </si>
  <si>
    <t xml:space="preserve">Acústica – PAVE1 (área sobreposta ≈ RC)</t>
  </si>
  <si>
    <t xml:space="preserve">A11</t>
  </si>
  <si>
    <t xml:space="preserve">Rodapé (perímetro compartimentos s/ WC e cozinhas)</t>
  </si>
  <si>
    <t xml:space="preserve">4*SQRT(10.69)+4*SQRT(10.92)+4*SQRT(37.81)+16+4*SQRT(13.94)+4*SQRT(11.97)+4*SQRT(12.18)+4*SQRT(30.35)+8</t>
  </si>
  <si>
    <t xml:space="preserve">Plantas – perímetro ≈4√A</t>
  </si>
  <si>
    <t xml:space="preserve">A12</t>
  </si>
  <si>
    <t xml:space="preserve">Teto falso gesso cartonado standard</t>
  </si>
  <si>
    <t xml:space="preserve">D19+D20-A13</t>
  </si>
  <si>
    <t xml:space="preserve">Térmico CBI1 + Acústica PAVE1 (teto GC)</t>
  </si>
  <si>
    <t xml:space="preserve">A13</t>
  </si>
  <si>
    <t xml:space="preserve">Teto falso gesso cartonado hidrófugo (WC + cozinha B)</t>
  </si>
  <si>
    <t xml:space="preserve">2.50+4.16+4.00+4.69+18.86</t>
  </si>
  <si>
    <t xml:space="preserve">A14</t>
  </si>
  <si>
    <t xml:space="preserve">Isolamento lã de rocha 10 cm sobre teto falso (A sob B + B sob desvão)</t>
  </si>
  <si>
    <t xml:space="preserve">D19+D12</t>
  </si>
  <si>
    <t xml:space="preserve">Acústica PAVE1 / Térmico CBI1</t>
  </si>
  <si>
    <t xml:space="preserve">A15</t>
  </si>
  <si>
    <t xml:space="preserve">Isolamento térmico pavimentos (PVE1 + PVI)</t>
  </si>
  <si>
    <t xml:space="preserve">D13+D14</t>
  </si>
  <si>
    <t xml:space="preserve">A16</t>
  </si>
  <si>
    <t xml:space="preserve">Cobertura inclinada (estrutura, subtelha, telha) – fator inclinação 1,10</t>
  </si>
  <si>
    <t xml:space="preserve">D17*1.10</t>
  </si>
  <si>
    <t xml:space="preserve">Pluviais (área projetada) – tipo de telha a confirmar</t>
  </si>
  <si>
    <t xml:space="preserve">A17</t>
  </si>
  <si>
    <t xml:space="preserve">Impermeabilização terraços / varandas</t>
  </si>
  <si>
    <t xml:space="preserve">D18+D11</t>
  </si>
  <si>
    <t xml:space="preserve">Pluviais + Térmico CBE1</t>
  </si>
  <si>
    <t xml:space="preserve">A18</t>
  </si>
  <si>
    <t xml:space="preserve">Caixilharia alumínio c/ corte térmico, vidro duplo g=0,42</t>
  </si>
  <si>
    <t xml:space="preserve">D07+D08</t>
  </si>
  <si>
    <t xml:space="preserve">Térmico – envidraçados</t>
  </si>
  <si>
    <t xml:space="preserve">A19</t>
  </si>
  <si>
    <t xml:space="preserve">Estores de lâminas em alumínio (comprimento de caixas)</t>
  </si>
  <si>
    <t xml:space="preserve">A20</t>
  </si>
  <si>
    <t xml:space="preserve">Portas de entrada de segurança (VOE1)</t>
  </si>
  <si>
    <t xml:space="preserve">Térmico – vãos opacos (1 por fração)</t>
  </si>
  <si>
    <t xml:space="preserve">A21</t>
  </si>
  <si>
    <t xml:space="preserve">Portas interiores (A: 6, B: 7)</t>
  </si>
  <si>
    <t xml:space="preserve">Contagem nas plantas</t>
  </si>
  <si>
    <t xml:space="preserve">A22</t>
  </si>
  <si>
    <t xml:space="preserve">Peitoris/soleiras em pedra</t>
  </si>
  <si>
    <t xml:space="preserve">D15/2.5</t>
  </si>
  <si>
    <t xml:space="preserve">Estimativa a partir do contorno de vãos</t>
  </si>
  <si>
    <t xml:space="preserve">H01</t>
  </si>
  <si>
    <t xml:space="preserve">PPR PN20 Ø20</t>
  </si>
  <si>
    <t xml:space="preserve">36.68+37.88</t>
  </si>
  <si>
    <t xml:space="preserve">Águas – Medição 8.2</t>
  </si>
  <si>
    <t xml:space="preserve">H02</t>
  </si>
  <si>
    <t xml:space="preserve">PPR PN20 Ø25</t>
  </si>
  <si>
    <t xml:space="preserve">22.72+25.91</t>
  </si>
  <si>
    <t xml:space="preserve">H03</t>
  </si>
  <si>
    <t xml:space="preserve">PPR PN20 Ø32</t>
  </si>
  <si>
    <t xml:space="preserve">3.00+8.04+11.07</t>
  </si>
  <si>
    <t xml:space="preserve">Águas – Medição 8.1/8.2</t>
  </si>
  <si>
    <t xml:space="preserve">H04</t>
  </si>
  <si>
    <t xml:space="preserve">PEAD PE80 Ø25 (enterrado)</t>
  </si>
  <si>
    <t xml:space="preserve">73.10</t>
  </si>
  <si>
    <t xml:space="preserve">H05</t>
  </si>
  <si>
    <t xml:space="preserve">PEAD PE80 Ø32 (enterrado)</t>
  </si>
  <si>
    <t xml:space="preserve">38.61</t>
  </si>
  <si>
    <t xml:space="preserve">S01</t>
  </si>
  <si>
    <t xml:space="preserve">PVC Ø50 (ramais)</t>
  </si>
  <si>
    <t xml:space="preserve">23.30</t>
  </si>
  <si>
    <t xml:space="preserve">Residuais – Medição 6.3</t>
  </si>
  <si>
    <t xml:space="preserve">S02</t>
  </si>
  <si>
    <t xml:space="preserve">PVC Ø75</t>
  </si>
  <si>
    <t xml:space="preserve">29.32+15.00</t>
  </si>
  <si>
    <t xml:space="preserve">Residuais – 6.3 (inclui ventilação primária Ø75)</t>
  </si>
  <si>
    <t xml:space="preserve">S03</t>
  </si>
  <si>
    <t xml:space="preserve">PVC Ø90</t>
  </si>
  <si>
    <t xml:space="preserve">23.73+10.00</t>
  </si>
  <si>
    <t xml:space="preserve">Residuais – 6.3 (inclui ventilação primária Ø90)</t>
  </si>
  <si>
    <t xml:space="preserve">S04</t>
  </si>
  <si>
    <t xml:space="preserve">PVC Ø110 SN4 enterrado</t>
  </si>
  <si>
    <t xml:space="preserve">38.13</t>
  </si>
  <si>
    <t xml:space="preserve">Residuais – 6.3</t>
  </si>
  <si>
    <t xml:space="preserve">S05</t>
  </si>
  <si>
    <t xml:space="preserve">PVC Ø125 SN4 enterrado</t>
  </si>
  <si>
    <t xml:space="preserve">9.12</t>
  </si>
  <si>
    <t xml:space="preserve">S06</t>
  </si>
  <si>
    <t xml:space="preserve">PVC Ø40 ventilação secundária</t>
  </si>
  <si>
    <t xml:space="preserve">9.60</t>
  </si>
  <si>
    <t xml:space="preserve">P01</t>
  </si>
  <si>
    <t xml:space="preserve">20.99</t>
  </si>
  <si>
    <t xml:space="preserve">Pluviais – 7.3</t>
  </si>
  <si>
    <t xml:space="preserve">P02</t>
  </si>
  <si>
    <t xml:space="preserve">Coletor PVC Ø110 (SN4 + série B)</t>
  </si>
  <si>
    <t xml:space="preserve">21.86+0.48</t>
  </si>
  <si>
    <t xml:space="preserve">P03</t>
  </si>
  <si>
    <t xml:space="preserve">1.97+0.75</t>
  </si>
  <si>
    <t xml:space="preserve">P04</t>
  </si>
  <si>
    <t xml:space="preserve">Caleira semicircular Ø110</t>
  </si>
  <si>
    <t xml:space="preserve">20.98</t>
  </si>
  <si>
    <t xml:space="preserve">L01</t>
  </si>
  <si>
    <t xml:space="preserve">Pontos de luz (≈0,25/m² útil)</t>
  </si>
  <si>
    <t xml:space="preserve">ROUND(0.25*(D01+D02),0)</t>
  </si>
  <si>
    <t xml:space="preserve">Rácio – desenhos elétricos não legíveis</t>
  </si>
  <si>
    <t xml:space="preserve">L02</t>
  </si>
  <si>
    <t xml:space="preserve">Tomadas (≈0,35/m² útil)</t>
  </si>
  <si>
    <t xml:space="preserve">ROUND(0.35*(D01+D02),0)</t>
  </si>
  <si>
    <t xml:space="preserve">V01</t>
  </si>
  <si>
    <t xml:space="preserve">Radiadores (A: 4, B: 6)</t>
  </si>
  <si>
    <t xml:space="preserve">AVAC – sistema caldeira+radiadores; nº estimado por compartimentos</t>
  </si>
  <si>
    <t xml:space="preserve">V02</t>
  </si>
  <si>
    <t xml:space="preserve">Rede hidráulica de aquecimento (≈12 m/radiador)</t>
  </si>
  <si>
    <t xml:space="preserve">V01*12</t>
  </si>
  <si>
    <t xml:space="preserve">Estimativa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</si>
</sst>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5" t="s">
        <v>4</v>
      </c>
      <c r="C5" s="4" t="s">
        <v>5</v>
      </c>
    </row>
    <row r="6" customFormat="false" ht="15" hidden="false" customHeight="false" outlineLevel="0" collapsed="false">
      <c r="B6" s="6" t="s">
        <v>6</v>
      </c>
      <c r="C6" s="4" t="s">
        <v>7</v>
      </c>
    </row>
    <row r="7" customFormat="false" ht="15" hidden="false" customHeight="false" outlineLevel="0" collapsed="false">
      <c r="B7" s="7" t="s">
        <v>8</v>
      </c>
      <c r="C7" s="4" t="s">
        <v>9</v>
      </c>
    </row>
    <row r="9" customFormat="false" ht="30" hidden="false" customHeight="true" outlineLevel="0" collapsed="false">
      <c r="C9" s="8" t="s">
        <v>10</v>
      </c>
    </row>
    <row r="10" customFormat="false" ht="30" hidden="false" customHeight="true" outlineLevel="0" collapsed="false">
      <c r="C10" s="8" t="s">
        <v>11</v>
      </c>
    </row>
    <row r="11" customFormat="false" ht="30" hidden="false" customHeight="true" outlineLevel="0" collapsed="false">
      <c r="C11" s="8" t="s">
        <v>12</v>
      </c>
    </row>
    <row r="12" customFormat="false" ht="30" hidden="false" customHeight="true" outlineLevel="0" collapsed="false">
      <c r="C12" s="8" t="s">
        <v>13</v>
      </c>
    </row>
    <row r="13" customFormat="false" ht="30" hidden="false" customHeight="true" outlineLevel="0" collapsed="false">
      <c r="C13" s="8" t="s">
        <v>14</v>
      </c>
    </row>
    <row r="14" customFormat="false" ht="30" hidden="false" customHeight="true" outlineLevel="0" collapsed="false">
      <c r="C14" s="8" t="s">
        <v>15</v>
      </c>
    </row>
    <row r="16" customFormat="false" ht="15" hidden="false" customHeight="false" outlineLevel="0" collapsed="false">
      <c r="B16" s="9" t="s">
        <v>16</v>
      </c>
    </row>
    <row r="17" customFormat="false" ht="15" hidden="false" customHeight="false" outlineLevel="0" collapsed="false">
      <c r="B17" s="10" t="s">
        <v>17</v>
      </c>
      <c r="C17" s="11" t="s">
        <v>18</v>
      </c>
    </row>
    <row r="18" customFormat="false" ht="15" hidden="false" customHeight="false" outlineLevel="0" collapsed="false">
      <c r="B18" s="12" t="s">
        <v>19</v>
      </c>
      <c r="C18" s="11" t="s">
        <v>20</v>
      </c>
    </row>
    <row r="19" customFormat="false" ht="15" hidden="false" customHeight="false" outlineLevel="0" collapsed="false">
      <c r="B19" s="13" t="s">
        <v>21</v>
      </c>
      <c r="C19" s="11" t="s">
        <v>22</v>
      </c>
    </row>
    <row r="20" customFormat="false" ht="15" hidden="false" customHeight="false" outlineLevel="0" collapsed="false">
      <c r="B20" s="14" t="s">
        <v>23</v>
      </c>
      <c r="C20" s="1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9"/>
  </cols>
  <sheetData>
    <row r="1" customFormat="false" ht="16.15" hidden="false" customHeight="false" outlineLevel="0" collapsed="false">
      <c r="A1" s="15" t="s">
        <v>25</v>
      </c>
    </row>
    <row r="2" customFormat="false" ht="15" hidden="false" customHeight="false" outlineLevel="0" collapsed="false">
      <c r="A2" s="16" t="s">
        <v>26</v>
      </c>
    </row>
    <row r="4" customFormat="false" ht="15" hidden="false" customHeight="false" outlineLevel="0" collapsed="false">
      <c r="A4" s="17" t="s">
        <v>27</v>
      </c>
      <c r="B4" s="17" t="s">
        <v>28</v>
      </c>
      <c r="C4" s="17" t="s">
        <v>29</v>
      </c>
      <c r="D4" s="17" t="s">
        <v>30</v>
      </c>
      <c r="E4" s="17" t="s">
        <v>31</v>
      </c>
      <c r="F4" s="17" t="s">
        <v>32</v>
      </c>
    </row>
    <row r="5" customFormat="false" ht="15" hidden="false" customHeight="false" outlineLevel="0" collapsed="false">
      <c r="A5" s="18" t="s">
        <v>33</v>
      </c>
      <c r="B5" s="18" t="s">
        <v>34</v>
      </c>
      <c r="C5" s="18"/>
      <c r="D5" s="18"/>
      <c r="E5" s="18"/>
      <c r="F5" s="18"/>
    </row>
    <row r="6" customFormat="false" ht="22.35" hidden="false" customHeight="false" outlineLevel="0" collapsed="false">
      <c r="A6" s="19" t="s">
        <v>35</v>
      </c>
      <c r="B6" s="20" t="s">
        <v>36</v>
      </c>
      <c r="C6" s="19" t="s">
        <v>37</v>
      </c>
      <c r="D6" s="21" t="n">
        <f aca="false">1</f>
        <v>1</v>
      </c>
      <c r="E6" s="20" t="s">
        <v>38</v>
      </c>
      <c r="F6" s="22" t="s">
        <v>39</v>
      </c>
    </row>
    <row r="7" customFormat="false" ht="22.35" hidden="false" customHeight="false" outlineLevel="0" collapsed="false">
      <c r="A7" s="19" t="s">
        <v>40</v>
      </c>
      <c r="B7" s="20" t="s">
        <v>41</v>
      </c>
      <c r="C7" s="19" t="s">
        <v>37</v>
      </c>
      <c r="D7" s="21" t="n">
        <f aca="false">1</f>
        <v>1</v>
      </c>
      <c r="E7" s="20" t="s">
        <v>42</v>
      </c>
      <c r="F7" s="23" t="s">
        <v>43</v>
      </c>
    </row>
    <row r="8" customFormat="false" ht="15" hidden="false" customHeight="false" outlineLevel="0" collapsed="false">
      <c r="A8" s="19" t="s">
        <v>44</v>
      </c>
      <c r="B8" s="20" t="s">
        <v>45</v>
      </c>
      <c r="C8" s="19" t="s">
        <v>37</v>
      </c>
      <c r="D8" s="21" t="n">
        <f aca="false">1</f>
        <v>1</v>
      </c>
      <c r="E8" s="20" t="s">
        <v>46</v>
      </c>
      <c r="F8" s="22" t="s">
        <v>39</v>
      </c>
    </row>
    <row r="9" customFormat="false" ht="15" hidden="false" customHeight="false" outlineLevel="0" collapsed="false">
      <c r="A9" s="19" t="s">
        <v>47</v>
      </c>
      <c r="B9" s="20" t="s">
        <v>48</v>
      </c>
      <c r="C9" s="19" t="s">
        <v>37</v>
      </c>
      <c r="D9" s="21" t="n">
        <f aca="false">1</f>
        <v>1</v>
      </c>
      <c r="E9" s="20" t="s">
        <v>49</v>
      </c>
      <c r="F9" s="22" t="s">
        <v>39</v>
      </c>
    </row>
    <row r="10" customFormat="false" ht="15" hidden="false" customHeight="false" outlineLevel="0" collapsed="false">
      <c r="A10" s="18" t="s">
        <v>50</v>
      </c>
      <c r="B10" s="18" t="s">
        <v>51</v>
      </c>
      <c r="C10" s="18"/>
      <c r="D10" s="18"/>
      <c r="E10" s="18"/>
      <c r="F10" s="18"/>
    </row>
    <row r="11" customFormat="false" ht="15" hidden="false" customHeight="false" outlineLevel="0" collapsed="false">
      <c r="A11" s="19" t="s">
        <v>52</v>
      </c>
      <c r="B11" s="20" t="s">
        <v>53</v>
      </c>
      <c r="C11" s="19" t="s">
        <v>54</v>
      </c>
      <c r="D11" s="21" t="n">
        <f aca="false">Cálculos!$E$39</f>
        <v>30.7905</v>
      </c>
      <c r="E11" s="20" t="s">
        <v>55</v>
      </c>
      <c r="F11" s="24" t="s">
        <v>56</v>
      </c>
    </row>
    <row r="12" customFormat="false" ht="15" hidden="false" customHeight="false" outlineLevel="0" collapsed="false">
      <c r="A12" s="19" t="s">
        <v>57</v>
      </c>
      <c r="B12" s="20" t="s">
        <v>58</v>
      </c>
      <c r="C12" s="19" t="s">
        <v>54</v>
      </c>
      <c r="D12" s="21" t="n">
        <f aca="false">ROUND(Cálculos!$E$39*0.35,1)</f>
        <v>10.8</v>
      </c>
      <c r="E12" s="20" t="s">
        <v>59</v>
      </c>
      <c r="F12" s="22" t="s">
        <v>39</v>
      </c>
    </row>
    <row r="13" customFormat="false" ht="15" hidden="false" customHeight="false" outlineLevel="0" collapsed="false">
      <c r="A13" s="19" t="s">
        <v>60</v>
      </c>
      <c r="B13" s="20" t="s">
        <v>61</v>
      </c>
      <c r="C13" s="19" t="s">
        <v>54</v>
      </c>
      <c r="D13" s="21" t="n">
        <f aca="false">ROUND(Cálculos!$E$39*0.65*1.25,1)</f>
        <v>25</v>
      </c>
      <c r="E13" s="20" t="s">
        <v>62</v>
      </c>
      <c r="F13" s="22" t="s">
        <v>39</v>
      </c>
    </row>
    <row r="14" customFormat="false" ht="22.35" hidden="false" customHeight="false" outlineLevel="0" collapsed="false">
      <c r="A14" s="19" t="s">
        <v>63</v>
      </c>
      <c r="B14" s="20" t="s">
        <v>64</v>
      </c>
      <c r="C14" s="19" t="s">
        <v>54</v>
      </c>
      <c r="D14" s="21" t="n">
        <f aca="false">Cálculos!$E$40</f>
        <v>13.6605</v>
      </c>
      <c r="E14" s="20" t="s">
        <v>65</v>
      </c>
      <c r="F14" s="24" t="s">
        <v>56</v>
      </c>
    </row>
    <row r="15" customFormat="false" ht="15" hidden="false" customHeight="false" outlineLevel="0" collapsed="false">
      <c r="A15" s="18" t="s">
        <v>66</v>
      </c>
      <c r="B15" s="18" t="s">
        <v>67</v>
      </c>
      <c r="C15" s="18"/>
      <c r="D15" s="18"/>
      <c r="E15" s="18"/>
      <c r="F15" s="18"/>
    </row>
    <row r="16" customFormat="false" ht="15" hidden="false" customHeight="false" outlineLevel="0" collapsed="false">
      <c r="A16" s="19" t="s">
        <v>68</v>
      </c>
      <c r="B16" s="20" t="s">
        <v>69</v>
      </c>
      <c r="C16" s="19" t="s">
        <v>54</v>
      </c>
      <c r="D16" s="21" t="n">
        <f aca="false">Cálculos!$E$33</f>
        <v>5.92125</v>
      </c>
      <c r="E16" s="20" t="s">
        <v>70</v>
      </c>
      <c r="F16" s="24" t="s">
        <v>56</v>
      </c>
    </row>
    <row r="17" customFormat="false" ht="15" hidden="false" customHeight="false" outlineLevel="0" collapsed="false">
      <c r="A17" s="19" t="s">
        <v>71</v>
      </c>
      <c r="B17" s="20" t="s">
        <v>72</v>
      </c>
      <c r="C17" s="19" t="s">
        <v>54</v>
      </c>
      <c r="D17" s="21" t="n">
        <f aca="false">Cálculos!$E$24+Cálculos!$E$25+Cálculos!$E$26</f>
        <v>23.685</v>
      </c>
      <c r="E17" s="20" t="s">
        <v>73</v>
      </c>
      <c r="F17" s="24" t="s">
        <v>56</v>
      </c>
    </row>
    <row r="18" customFormat="false" ht="15" hidden="false" customHeight="false" outlineLevel="0" collapsed="false">
      <c r="A18" s="19" t="s">
        <v>74</v>
      </c>
      <c r="B18" s="20" t="s">
        <v>75</v>
      </c>
      <c r="C18" s="19" t="s">
        <v>54</v>
      </c>
      <c r="D18" s="21" t="n">
        <f aca="false">Cálculos!$E$27</f>
        <v>14.08</v>
      </c>
      <c r="E18" s="20" t="s">
        <v>76</v>
      </c>
      <c r="F18" s="22" t="s">
        <v>39</v>
      </c>
    </row>
    <row r="19" customFormat="false" ht="15" hidden="false" customHeight="false" outlineLevel="0" collapsed="false">
      <c r="A19" s="19" t="s">
        <v>77</v>
      </c>
      <c r="B19" s="20" t="s">
        <v>78</v>
      </c>
      <c r="C19" s="19" t="s">
        <v>54</v>
      </c>
      <c r="D19" s="21" t="n">
        <f aca="false">Cálculos!$E$28</f>
        <v>18</v>
      </c>
      <c r="E19" s="20" t="s">
        <v>79</v>
      </c>
      <c r="F19" s="22" t="s">
        <v>39</v>
      </c>
    </row>
    <row r="20" customFormat="false" ht="15" hidden="false" customHeight="false" outlineLevel="0" collapsed="false">
      <c r="A20" s="19" t="s">
        <v>80</v>
      </c>
      <c r="B20" s="20" t="s">
        <v>81</v>
      </c>
      <c r="C20" s="19" t="s">
        <v>82</v>
      </c>
      <c r="D20" s="21" t="n">
        <f aca="false">Cálculos!$E$29</f>
        <v>258.3</v>
      </c>
      <c r="E20" s="20" t="s">
        <v>83</v>
      </c>
      <c r="F20" s="24" t="s">
        <v>56</v>
      </c>
    </row>
    <row r="21" customFormat="false" ht="15" hidden="false" customHeight="false" outlineLevel="0" collapsed="false">
      <c r="A21" s="19" t="s">
        <v>84</v>
      </c>
      <c r="B21" s="20" t="s">
        <v>85</v>
      </c>
      <c r="C21" s="19" t="s">
        <v>54</v>
      </c>
      <c r="D21" s="21" t="n">
        <f aca="false">Cálculos!$E$30</f>
        <v>3.75</v>
      </c>
      <c r="E21" s="20" t="s">
        <v>86</v>
      </c>
      <c r="F21" s="22" t="s">
        <v>39</v>
      </c>
    </row>
    <row r="22" customFormat="false" ht="15" hidden="false" customHeight="false" outlineLevel="0" collapsed="false">
      <c r="A22" s="19" t="s">
        <v>87</v>
      </c>
      <c r="B22" s="20" t="s">
        <v>88</v>
      </c>
      <c r="C22" s="19" t="s">
        <v>54</v>
      </c>
      <c r="D22" s="21" t="n">
        <f aca="false">Cálculos!$E$31</f>
        <v>3</v>
      </c>
      <c r="E22" s="20" t="s">
        <v>89</v>
      </c>
      <c r="F22" s="22" t="s">
        <v>39</v>
      </c>
    </row>
    <row r="23" customFormat="false" ht="15" hidden="false" customHeight="false" outlineLevel="0" collapsed="false">
      <c r="A23" s="19" t="s">
        <v>90</v>
      </c>
      <c r="B23" s="20" t="s">
        <v>91</v>
      </c>
      <c r="C23" s="19" t="s">
        <v>82</v>
      </c>
      <c r="D23" s="21" t="n">
        <f aca="false">Cálculos!$E$32</f>
        <v>91.07</v>
      </c>
      <c r="E23" s="20" t="s">
        <v>92</v>
      </c>
      <c r="F23" s="24" t="s">
        <v>56</v>
      </c>
    </row>
    <row r="24" customFormat="false" ht="15" hidden="false" customHeight="false" outlineLevel="0" collapsed="false">
      <c r="A24" s="19" t="s">
        <v>93</v>
      </c>
      <c r="B24" s="20" t="s">
        <v>94</v>
      </c>
      <c r="C24" s="19" t="s">
        <v>95</v>
      </c>
      <c r="D24" s="21" t="n">
        <f aca="false">ROUND(Cálculos!$E$34+Cálculos!$E$35+Cálculos!$E$36,0)</f>
        <v>6199</v>
      </c>
      <c r="E24" s="20" t="s">
        <v>96</v>
      </c>
      <c r="F24" s="22" t="s">
        <v>39</v>
      </c>
    </row>
    <row r="25" customFormat="false" ht="15" hidden="false" customHeight="false" outlineLevel="0" collapsed="false">
      <c r="A25" s="19" t="s">
        <v>97</v>
      </c>
      <c r="B25" s="20" t="s">
        <v>98</v>
      </c>
      <c r="C25" s="19" t="s">
        <v>82</v>
      </c>
      <c r="D25" s="21" t="n">
        <f aca="false">Cálculos!$E$37</f>
        <v>183.04</v>
      </c>
      <c r="E25" s="20" t="s">
        <v>99</v>
      </c>
      <c r="F25" s="22" t="s">
        <v>39</v>
      </c>
    </row>
    <row r="26" customFormat="false" ht="15" hidden="false" customHeight="false" outlineLevel="0" collapsed="false">
      <c r="A26" s="19" t="s">
        <v>100</v>
      </c>
      <c r="B26" s="20" t="s">
        <v>101</v>
      </c>
      <c r="C26" s="19" t="s">
        <v>82</v>
      </c>
      <c r="D26" s="21" t="n">
        <f aca="false">Cálculos!$E$38</f>
        <v>189</v>
      </c>
      <c r="E26" s="20" t="s">
        <v>102</v>
      </c>
      <c r="F26" s="22" t="s">
        <v>39</v>
      </c>
    </row>
    <row r="27" customFormat="false" ht="15" hidden="false" customHeight="false" outlineLevel="0" collapsed="false">
      <c r="A27" s="19" t="s">
        <v>103</v>
      </c>
      <c r="B27" s="20" t="s">
        <v>104</v>
      </c>
      <c r="C27" s="19" t="s">
        <v>82</v>
      </c>
      <c r="D27" s="21" t="n">
        <f aca="false">ROUND((Cálculos!$E$24+Cálculos!$E$25+Cálculos!$E$26)*2.5,1)</f>
        <v>59.2</v>
      </c>
      <c r="E27" s="20" t="s">
        <v>105</v>
      </c>
      <c r="F27" s="22" t="s">
        <v>39</v>
      </c>
    </row>
    <row r="28" customFormat="false" ht="15" hidden="false" customHeight="false" outlineLevel="0" collapsed="false">
      <c r="A28" s="18" t="s">
        <v>106</v>
      </c>
      <c r="B28" s="18" t="s">
        <v>107</v>
      </c>
      <c r="C28" s="18"/>
      <c r="D28" s="18"/>
      <c r="E28" s="18"/>
      <c r="F28" s="18"/>
    </row>
    <row r="29" customFormat="false" ht="15" hidden="false" customHeight="false" outlineLevel="0" collapsed="false">
      <c r="A29" s="19" t="s">
        <v>108</v>
      </c>
      <c r="B29" s="20" t="s">
        <v>109</v>
      </c>
      <c r="C29" s="19" t="s">
        <v>82</v>
      </c>
      <c r="D29" s="21" t="n">
        <f aca="false">Cálculos!$E$41</f>
        <v>160.15</v>
      </c>
      <c r="E29" s="20" t="s">
        <v>110</v>
      </c>
      <c r="F29" s="24" t="s">
        <v>56</v>
      </c>
    </row>
    <row r="30" customFormat="false" ht="15" hidden="false" customHeight="false" outlineLevel="0" collapsed="false">
      <c r="A30" s="19" t="s">
        <v>111</v>
      </c>
      <c r="B30" s="20" t="s">
        <v>112</v>
      </c>
      <c r="C30" s="19" t="s">
        <v>82</v>
      </c>
      <c r="D30" s="21" t="n">
        <f aca="false">Cálculos!$E$42</f>
        <v>182.7</v>
      </c>
      <c r="E30" s="20" t="s">
        <v>113</v>
      </c>
      <c r="F30" s="22" t="s">
        <v>39</v>
      </c>
    </row>
    <row r="31" customFormat="false" ht="15" hidden="false" customHeight="false" outlineLevel="0" collapsed="false">
      <c r="A31" s="19" t="s">
        <v>114</v>
      </c>
      <c r="B31" s="20" t="s">
        <v>115</v>
      </c>
      <c r="C31" s="19" t="s">
        <v>82</v>
      </c>
      <c r="D31" s="21" t="n">
        <f aca="false">Cálculos!$E$43</f>
        <v>166.3</v>
      </c>
      <c r="E31" s="20" t="s">
        <v>116</v>
      </c>
      <c r="F31" s="24" t="s">
        <v>56</v>
      </c>
    </row>
    <row r="32" customFormat="false" ht="15" hidden="false" customHeight="false" outlineLevel="0" collapsed="false">
      <c r="A32" s="19" t="s">
        <v>117</v>
      </c>
      <c r="B32" s="20" t="s">
        <v>118</v>
      </c>
      <c r="C32" s="19" t="s">
        <v>119</v>
      </c>
      <c r="D32" s="21" t="n">
        <f aca="false">Cálculos!$E$18</f>
        <v>79.95</v>
      </c>
      <c r="E32" s="20" t="s">
        <v>120</v>
      </c>
      <c r="F32" s="22" t="s">
        <v>39</v>
      </c>
    </row>
    <row r="33" customFormat="false" ht="15" hidden="false" customHeight="false" outlineLevel="0" collapsed="false">
      <c r="A33" s="18" t="s">
        <v>121</v>
      </c>
      <c r="B33" s="18" t="s">
        <v>122</v>
      </c>
      <c r="C33" s="18"/>
      <c r="D33" s="18"/>
      <c r="E33" s="18"/>
      <c r="F33" s="18"/>
    </row>
    <row r="34" customFormat="false" ht="15" hidden="false" customHeight="false" outlineLevel="0" collapsed="false">
      <c r="A34" s="19" t="s">
        <v>123</v>
      </c>
      <c r="B34" s="20" t="s">
        <v>124</v>
      </c>
      <c r="C34" s="19" t="s">
        <v>82</v>
      </c>
      <c r="D34" s="21" t="n">
        <f aca="false">Cálculos!$E$44</f>
        <v>93.19</v>
      </c>
      <c r="E34" s="20" t="s">
        <v>125</v>
      </c>
      <c r="F34" s="24" t="s">
        <v>56</v>
      </c>
    </row>
    <row r="35" customFormat="false" ht="15" hidden="false" customHeight="false" outlineLevel="0" collapsed="false">
      <c r="A35" s="19" t="s">
        <v>126</v>
      </c>
      <c r="B35" s="20" t="s">
        <v>127</v>
      </c>
      <c r="C35" s="19" t="s">
        <v>82</v>
      </c>
      <c r="D35" s="21" t="n">
        <f aca="false">Cálculos!$E$47</f>
        <v>451.350680784396</v>
      </c>
      <c r="E35" s="20" t="s">
        <v>128</v>
      </c>
      <c r="F35" s="22" t="s">
        <v>39</v>
      </c>
    </row>
    <row r="36" customFormat="false" ht="15" hidden="false" customHeight="false" outlineLevel="0" collapsed="false">
      <c r="A36" s="19" t="s">
        <v>129</v>
      </c>
      <c r="B36" s="20" t="s">
        <v>130</v>
      </c>
      <c r="C36" s="19" t="s">
        <v>82</v>
      </c>
      <c r="D36" s="21" t="n">
        <f aca="false">Cálculos!$E$47+Cálculos!$E$52+Cálculos!$E$53</f>
        <v>632.660680784396</v>
      </c>
      <c r="E36" s="20" t="s">
        <v>131</v>
      </c>
      <c r="F36" s="22" t="s">
        <v>39</v>
      </c>
    </row>
    <row r="37" customFormat="false" ht="15" hidden="false" customHeight="false" outlineLevel="0" collapsed="false">
      <c r="A37" s="19" t="s">
        <v>132</v>
      </c>
      <c r="B37" s="20" t="s">
        <v>133</v>
      </c>
      <c r="C37" s="19" t="s">
        <v>82</v>
      </c>
      <c r="D37" s="21" t="n">
        <f aca="false">Cálculos!$E$45+Cálculos!$E$46</f>
        <v>80.3493192156039</v>
      </c>
      <c r="E37" s="20" t="s">
        <v>134</v>
      </c>
      <c r="F37" s="24" t="s">
        <v>56</v>
      </c>
    </row>
    <row r="38" customFormat="false" ht="15" hidden="false" customHeight="false" outlineLevel="0" collapsed="false">
      <c r="A38" s="19" t="s">
        <v>135</v>
      </c>
      <c r="B38" s="20" t="s">
        <v>136</v>
      </c>
      <c r="C38" s="19" t="s">
        <v>82</v>
      </c>
      <c r="D38" s="21" t="n">
        <f aca="false">Cálculos!$E$49</f>
        <v>181.31</v>
      </c>
      <c r="E38" s="20" t="s">
        <v>137</v>
      </c>
      <c r="F38" s="24" t="s">
        <v>56</v>
      </c>
    </row>
    <row r="39" customFormat="false" ht="15" hidden="false" customHeight="false" outlineLevel="0" collapsed="false">
      <c r="A39" s="19" t="s">
        <v>138</v>
      </c>
      <c r="B39" s="20" t="s">
        <v>139</v>
      </c>
      <c r="C39" s="19" t="s">
        <v>82</v>
      </c>
      <c r="D39" s="21" t="n">
        <f aca="false">Cálculos!$E$50</f>
        <v>81.07</v>
      </c>
      <c r="E39" s="20" t="s">
        <v>140</v>
      </c>
      <c r="F39" s="24" t="s">
        <v>56</v>
      </c>
    </row>
    <row r="40" customFormat="false" ht="15" hidden="false" customHeight="false" outlineLevel="0" collapsed="false">
      <c r="A40" s="19" t="s">
        <v>141</v>
      </c>
      <c r="B40" s="20" t="s">
        <v>142</v>
      </c>
      <c r="C40" s="19" t="s">
        <v>82</v>
      </c>
      <c r="D40" s="21" t="n">
        <f aca="false">Cálculos!$E$48</f>
        <v>181.31</v>
      </c>
      <c r="E40" s="20" t="s">
        <v>143</v>
      </c>
      <c r="F40" s="25" t="s">
        <v>144</v>
      </c>
    </row>
    <row r="41" customFormat="false" ht="15" hidden="false" customHeight="false" outlineLevel="0" collapsed="false">
      <c r="A41" s="19" t="s">
        <v>145</v>
      </c>
      <c r="B41" s="20" t="s">
        <v>146</v>
      </c>
      <c r="C41" s="19" t="s">
        <v>119</v>
      </c>
      <c r="D41" s="21" t="n">
        <f aca="false">ROUND(Cálculos!$E$51,0)</f>
        <v>140</v>
      </c>
      <c r="E41" s="20" t="s">
        <v>147</v>
      </c>
      <c r="F41" s="22" t="s">
        <v>39</v>
      </c>
    </row>
    <row r="42" customFormat="false" ht="15" hidden="false" customHeight="false" outlineLevel="0" collapsed="false">
      <c r="A42" s="19" t="s">
        <v>148</v>
      </c>
      <c r="B42" s="20" t="s">
        <v>149</v>
      </c>
      <c r="C42" s="19" t="s">
        <v>82</v>
      </c>
      <c r="D42" s="21" t="n">
        <f aca="false">Cálculos!$E$52</f>
        <v>147.1</v>
      </c>
      <c r="E42" s="20" t="s">
        <v>150</v>
      </c>
      <c r="F42" s="24" t="s">
        <v>56</v>
      </c>
    </row>
    <row r="43" customFormat="false" ht="15" hidden="false" customHeight="false" outlineLevel="0" collapsed="false">
      <c r="A43" s="19" t="s">
        <v>151</v>
      </c>
      <c r="B43" s="20" t="s">
        <v>152</v>
      </c>
      <c r="C43" s="19" t="s">
        <v>82</v>
      </c>
      <c r="D43" s="21" t="n">
        <f aca="false">Cálculos!$E$53</f>
        <v>34.21</v>
      </c>
      <c r="E43" s="20" t="s">
        <v>153</v>
      </c>
      <c r="F43" s="25" t="s">
        <v>144</v>
      </c>
    </row>
    <row r="44" customFormat="false" ht="15" hidden="false" customHeight="false" outlineLevel="0" collapsed="false">
      <c r="A44" s="19" t="s">
        <v>154</v>
      </c>
      <c r="B44" s="20" t="s">
        <v>155</v>
      </c>
      <c r="C44" s="19" t="s">
        <v>82</v>
      </c>
      <c r="D44" s="21" t="n">
        <f aca="false">Cálculos!$E$54</f>
        <v>194.82</v>
      </c>
      <c r="E44" s="20" t="s">
        <v>156</v>
      </c>
      <c r="F44" s="24" t="s">
        <v>56</v>
      </c>
    </row>
    <row r="45" customFormat="false" ht="15" hidden="false" customHeight="false" outlineLevel="0" collapsed="false">
      <c r="A45" s="19" t="s">
        <v>157</v>
      </c>
      <c r="B45" s="20" t="s">
        <v>158</v>
      </c>
      <c r="C45" s="19" t="s">
        <v>82</v>
      </c>
      <c r="D45" s="21" t="n">
        <f aca="false">Cálculos!$E$55</f>
        <v>128.75</v>
      </c>
      <c r="E45" s="20" t="s">
        <v>159</v>
      </c>
      <c r="F45" s="25" t="s">
        <v>144</v>
      </c>
    </row>
    <row r="46" customFormat="false" ht="15" hidden="false" customHeight="false" outlineLevel="0" collapsed="false">
      <c r="A46" s="19" t="s">
        <v>160</v>
      </c>
      <c r="B46" s="20" t="s">
        <v>161</v>
      </c>
      <c r="C46" s="19" t="s">
        <v>82</v>
      </c>
      <c r="D46" s="21" t="n">
        <f aca="false">Cálculos!$E$57</f>
        <v>116.79</v>
      </c>
      <c r="E46" s="20" t="s">
        <v>162</v>
      </c>
      <c r="F46" s="24" t="s">
        <v>56</v>
      </c>
    </row>
    <row r="47" customFormat="false" ht="15" hidden="false" customHeight="false" outlineLevel="0" collapsed="false">
      <c r="A47" s="19" t="s">
        <v>163</v>
      </c>
      <c r="B47" s="20" t="s">
        <v>164</v>
      </c>
      <c r="C47" s="19" t="s">
        <v>37</v>
      </c>
      <c r="D47" s="21" t="n">
        <f aca="false">1</f>
        <v>1</v>
      </c>
      <c r="E47" s="20" t="s">
        <v>165</v>
      </c>
      <c r="F47" s="23" t="s">
        <v>43</v>
      </c>
    </row>
    <row r="48" customFormat="false" ht="15" hidden="false" customHeight="false" outlineLevel="0" collapsed="false">
      <c r="A48" s="18" t="s">
        <v>166</v>
      </c>
      <c r="B48" s="18" t="s">
        <v>167</v>
      </c>
      <c r="C48" s="18"/>
      <c r="D48" s="18"/>
      <c r="E48" s="18"/>
      <c r="F48" s="18"/>
    </row>
    <row r="49" customFormat="false" ht="15" hidden="false" customHeight="false" outlineLevel="0" collapsed="false">
      <c r="A49" s="19" t="s">
        <v>168</v>
      </c>
      <c r="B49" s="20" t="s">
        <v>169</v>
      </c>
      <c r="C49" s="19" t="s">
        <v>82</v>
      </c>
      <c r="D49" s="21" t="n">
        <f aca="false">Cálculos!$E$56</f>
        <v>161.029</v>
      </c>
      <c r="E49" s="20" t="s">
        <v>170</v>
      </c>
      <c r="F49" s="22" t="s">
        <v>39</v>
      </c>
    </row>
    <row r="50" customFormat="false" ht="15" hidden="false" customHeight="false" outlineLevel="0" collapsed="false">
      <c r="A50" s="19" t="s">
        <v>171</v>
      </c>
      <c r="B50" s="20" t="s">
        <v>172</v>
      </c>
      <c r="C50" s="19" t="s">
        <v>82</v>
      </c>
      <c r="D50" s="21" t="n">
        <f aca="false">0</f>
        <v>0</v>
      </c>
      <c r="E50" s="20" t="s">
        <v>173</v>
      </c>
      <c r="F50" s="24" t="s">
        <v>56</v>
      </c>
    </row>
    <row r="51" customFormat="false" ht="15" hidden="false" customHeight="false" outlineLevel="0" collapsed="false">
      <c r="A51" s="19" t="s">
        <v>174</v>
      </c>
      <c r="B51" s="20" t="s">
        <v>175</v>
      </c>
      <c r="C51" s="19" t="s">
        <v>37</v>
      </c>
      <c r="D51" s="21" t="n">
        <f aca="false">1</f>
        <v>1</v>
      </c>
      <c r="E51" s="20" t="s">
        <v>176</v>
      </c>
      <c r="F51" s="22" t="s">
        <v>39</v>
      </c>
    </row>
    <row r="52" customFormat="false" ht="15" hidden="false" customHeight="false" outlineLevel="0" collapsed="false">
      <c r="A52" s="18" t="s">
        <v>177</v>
      </c>
      <c r="B52" s="18" t="s">
        <v>178</v>
      </c>
      <c r="C52" s="18"/>
      <c r="D52" s="18"/>
      <c r="E52" s="18"/>
      <c r="F52" s="18"/>
    </row>
    <row r="53" customFormat="false" ht="15" hidden="false" customHeight="false" outlineLevel="0" collapsed="false">
      <c r="A53" s="19" t="s">
        <v>179</v>
      </c>
      <c r="B53" s="20" t="s">
        <v>180</v>
      </c>
      <c r="C53" s="19" t="s">
        <v>82</v>
      </c>
      <c r="D53" s="21" t="n">
        <f aca="false">Cálculos!$E$58</f>
        <v>45.7</v>
      </c>
      <c r="E53" s="20" t="s">
        <v>181</v>
      </c>
      <c r="F53" s="24" t="s">
        <v>56</v>
      </c>
    </row>
    <row r="54" customFormat="false" ht="15" hidden="false" customHeight="false" outlineLevel="0" collapsed="false">
      <c r="A54" s="19" t="s">
        <v>182</v>
      </c>
      <c r="B54" s="20" t="s">
        <v>183</v>
      </c>
      <c r="C54" s="19" t="s">
        <v>119</v>
      </c>
      <c r="D54" s="21" t="n">
        <f aca="false">Cálculos!$E$59</f>
        <v>20.85</v>
      </c>
      <c r="E54" s="20" t="s">
        <v>184</v>
      </c>
      <c r="F54" s="25" t="s">
        <v>144</v>
      </c>
    </row>
    <row r="55" customFormat="false" ht="15" hidden="false" customHeight="false" outlineLevel="0" collapsed="false">
      <c r="A55" s="19" t="s">
        <v>185</v>
      </c>
      <c r="B55" s="20" t="s">
        <v>186</v>
      </c>
      <c r="C55" s="19" t="s">
        <v>187</v>
      </c>
      <c r="D55" s="21" t="n">
        <f aca="false">Cálculos!$E$60</f>
        <v>2</v>
      </c>
      <c r="E55" s="20" t="s">
        <v>188</v>
      </c>
      <c r="F55" s="25" t="s">
        <v>144</v>
      </c>
    </row>
    <row r="56" customFormat="false" ht="15" hidden="false" customHeight="false" outlineLevel="0" collapsed="false">
      <c r="A56" s="19" t="s">
        <v>189</v>
      </c>
      <c r="B56" s="20" t="s">
        <v>190</v>
      </c>
      <c r="C56" s="19" t="s">
        <v>187</v>
      </c>
      <c r="D56" s="21" t="n">
        <f aca="false">Cálculos!$E$61</f>
        <v>13</v>
      </c>
      <c r="E56" s="20" t="s">
        <v>143</v>
      </c>
      <c r="F56" s="24" t="s">
        <v>56</v>
      </c>
    </row>
    <row r="57" customFormat="false" ht="15" hidden="false" customHeight="false" outlineLevel="0" collapsed="false">
      <c r="A57" s="19" t="s">
        <v>191</v>
      </c>
      <c r="B57" s="20" t="s">
        <v>192</v>
      </c>
      <c r="C57" s="19" t="s">
        <v>119</v>
      </c>
      <c r="D57" s="21" t="n">
        <f aca="false">ROUND(Cálculos!$E$62,1)</f>
        <v>32</v>
      </c>
      <c r="E57" s="20" t="s">
        <v>193</v>
      </c>
      <c r="F57" s="22" t="s">
        <v>39</v>
      </c>
    </row>
    <row r="58" customFormat="false" ht="15" hidden="false" customHeight="false" outlineLevel="0" collapsed="false">
      <c r="A58" s="19" t="s">
        <v>194</v>
      </c>
      <c r="B58" s="20" t="s">
        <v>195</v>
      </c>
      <c r="C58" s="19" t="s">
        <v>119</v>
      </c>
      <c r="D58" s="21" t="n">
        <f aca="false">0</f>
        <v>0</v>
      </c>
      <c r="E58" s="20" t="s">
        <v>165</v>
      </c>
      <c r="F58" s="23" t="s">
        <v>43</v>
      </c>
    </row>
    <row r="59" customFormat="false" ht="15" hidden="false" customHeight="false" outlineLevel="0" collapsed="false">
      <c r="A59" s="19" t="s">
        <v>196</v>
      </c>
      <c r="B59" s="20" t="s">
        <v>197</v>
      </c>
      <c r="C59" s="19" t="s">
        <v>37</v>
      </c>
      <c r="D59" s="21" t="n">
        <f aca="false">2</f>
        <v>2</v>
      </c>
      <c r="E59" s="20" t="s">
        <v>198</v>
      </c>
      <c r="F59" s="23" t="s">
        <v>43</v>
      </c>
    </row>
    <row r="60" customFormat="false" ht="15" hidden="false" customHeight="false" outlineLevel="0" collapsed="false">
      <c r="A60" s="18" t="s">
        <v>199</v>
      </c>
      <c r="B60" s="18" t="s">
        <v>200</v>
      </c>
      <c r="C60" s="18"/>
      <c r="D60" s="18"/>
      <c r="E60" s="18"/>
      <c r="F60" s="18"/>
    </row>
    <row r="61" customFormat="false" ht="15" hidden="false" customHeight="false" outlineLevel="0" collapsed="false">
      <c r="A61" s="19" t="s">
        <v>201</v>
      </c>
      <c r="B61" s="20" t="s">
        <v>202</v>
      </c>
      <c r="C61" s="19" t="s">
        <v>119</v>
      </c>
      <c r="D61" s="21" t="n">
        <f aca="false">Cálculos!$E$63</f>
        <v>74.56</v>
      </c>
      <c r="E61" s="20" t="s">
        <v>203</v>
      </c>
      <c r="F61" s="25" t="s">
        <v>144</v>
      </c>
    </row>
    <row r="62" customFormat="false" ht="15" hidden="false" customHeight="false" outlineLevel="0" collapsed="false">
      <c r="A62" s="19" t="s">
        <v>204</v>
      </c>
      <c r="B62" s="20" t="s">
        <v>205</v>
      </c>
      <c r="C62" s="19" t="s">
        <v>119</v>
      </c>
      <c r="D62" s="21" t="n">
        <f aca="false">Cálculos!$E$64</f>
        <v>48.63</v>
      </c>
      <c r="E62" s="20" t="s">
        <v>203</v>
      </c>
      <c r="F62" s="25" t="s">
        <v>144</v>
      </c>
    </row>
    <row r="63" customFormat="false" ht="15" hidden="false" customHeight="false" outlineLevel="0" collapsed="false">
      <c r="A63" s="19" t="s">
        <v>206</v>
      </c>
      <c r="B63" s="20" t="s">
        <v>207</v>
      </c>
      <c r="C63" s="19" t="s">
        <v>119</v>
      </c>
      <c r="D63" s="21" t="n">
        <f aca="false">Cálculos!$E$65</f>
        <v>22.11</v>
      </c>
      <c r="E63" s="20" t="s">
        <v>203</v>
      </c>
      <c r="F63" s="25" t="s">
        <v>144</v>
      </c>
    </row>
    <row r="64" customFormat="false" ht="15" hidden="false" customHeight="false" outlineLevel="0" collapsed="false">
      <c r="A64" s="19" t="s">
        <v>208</v>
      </c>
      <c r="B64" s="20" t="s">
        <v>209</v>
      </c>
      <c r="C64" s="19" t="s">
        <v>119</v>
      </c>
      <c r="D64" s="21" t="n">
        <f aca="false">Cálculos!$E$66+Cálculos!$E$67</f>
        <v>111.71</v>
      </c>
      <c r="E64" s="20" t="s">
        <v>203</v>
      </c>
      <c r="F64" s="25" t="s">
        <v>144</v>
      </c>
    </row>
    <row r="65" customFormat="false" ht="15" hidden="false" customHeight="false" outlineLevel="0" collapsed="false">
      <c r="A65" s="19" t="s">
        <v>210</v>
      </c>
      <c r="B65" s="20" t="s">
        <v>211</v>
      </c>
      <c r="C65" s="19" t="s">
        <v>187</v>
      </c>
      <c r="D65" s="21" t="n">
        <f aca="false">16</f>
        <v>16</v>
      </c>
      <c r="E65" s="20" t="s">
        <v>212</v>
      </c>
      <c r="F65" s="25" t="s">
        <v>144</v>
      </c>
    </row>
    <row r="66" customFormat="false" ht="15" hidden="false" customHeight="false" outlineLevel="0" collapsed="false">
      <c r="A66" s="19" t="s">
        <v>213</v>
      </c>
      <c r="B66" s="20" t="s">
        <v>214</v>
      </c>
      <c r="C66" s="19" t="s">
        <v>187</v>
      </c>
      <c r="D66" s="21" t="n">
        <f aca="false">2</f>
        <v>2</v>
      </c>
      <c r="E66" s="20" t="s">
        <v>215</v>
      </c>
      <c r="F66" s="25" t="s">
        <v>144</v>
      </c>
    </row>
    <row r="67" customFormat="false" ht="15" hidden="false" customHeight="false" outlineLevel="0" collapsed="false">
      <c r="A67" s="19" t="s">
        <v>216</v>
      </c>
      <c r="B67" s="20" t="s">
        <v>217</v>
      </c>
      <c r="C67" s="19" t="s">
        <v>119</v>
      </c>
      <c r="D67" s="21" t="n">
        <f aca="false">ROUND((Cálculos!$E$63+Cálculos!$E$64+Cálculos!$E$65)*0.5,1)</f>
        <v>72.7</v>
      </c>
      <c r="E67" s="20" t="s">
        <v>218</v>
      </c>
      <c r="F67" s="22" t="s">
        <v>39</v>
      </c>
    </row>
    <row r="68" customFormat="false" ht="15" hidden="false" customHeight="false" outlineLevel="0" collapsed="false">
      <c r="A68" s="19" t="s">
        <v>219</v>
      </c>
      <c r="B68" s="20" t="s">
        <v>220</v>
      </c>
      <c r="C68" s="19" t="s">
        <v>37</v>
      </c>
      <c r="D68" s="21" t="n">
        <f aca="false">1</f>
        <v>1</v>
      </c>
      <c r="E68" s="20" t="s">
        <v>221</v>
      </c>
      <c r="F68" s="22" t="s">
        <v>39</v>
      </c>
    </row>
    <row r="69" customFormat="false" ht="15" hidden="false" customHeight="false" outlineLevel="0" collapsed="false">
      <c r="A69" s="18" t="s">
        <v>222</v>
      </c>
      <c r="B69" s="18" t="s">
        <v>223</v>
      </c>
      <c r="C69" s="18"/>
      <c r="D69" s="18"/>
      <c r="E69" s="18"/>
      <c r="F69" s="18"/>
    </row>
    <row r="70" customFormat="false" ht="15" hidden="false" customHeight="false" outlineLevel="0" collapsed="false">
      <c r="A70" s="19" t="s">
        <v>224</v>
      </c>
      <c r="B70" s="20" t="s">
        <v>225</v>
      </c>
      <c r="C70" s="19" t="s">
        <v>119</v>
      </c>
      <c r="D70" s="21" t="n">
        <f aca="false">Cálculos!$E$68</f>
        <v>23.3</v>
      </c>
      <c r="E70" s="20" t="s">
        <v>226</v>
      </c>
      <c r="F70" s="25" t="s">
        <v>144</v>
      </c>
    </row>
    <row r="71" customFormat="false" ht="15" hidden="false" customHeight="false" outlineLevel="0" collapsed="false">
      <c r="A71" s="19" t="s">
        <v>227</v>
      </c>
      <c r="B71" s="20" t="s">
        <v>228</v>
      </c>
      <c r="C71" s="19" t="s">
        <v>119</v>
      </c>
      <c r="D71" s="21" t="n">
        <f aca="false">Cálculos!$E$69</f>
        <v>44.32</v>
      </c>
      <c r="E71" s="20" t="s">
        <v>226</v>
      </c>
      <c r="F71" s="25" t="s">
        <v>144</v>
      </c>
    </row>
    <row r="72" customFormat="false" ht="15" hidden="false" customHeight="false" outlineLevel="0" collapsed="false">
      <c r="A72" s="19" t="s">
        <v>229</v>
      </c>
      <c r="B72" s="20" t="s">
        <v>230</v>
      </c>
      <c r="C72" s="19" t="s">
        <v>119</v>
      </c>
      <c r="D72" s="21" t="n">
        <f aca="false">Cálculos!$E$70</f>
        <v>33.73</v>
      </c>
      <c r="E72" s="20" t="s">
        <v>226</v>
      </c>
      <c r="F72" s="25" t="s">
        <v>144</v>
      </c>
    </row>
    <row r="73" customFormat="false" ht="15" hidden="false" customHeight="false" outlineLevel="0" collapsed="false">
      <c r="A73" s="19" t="s">
        <v>231</v>
      </c>
      <c r="B73" s="20" t="s">
        <v>232</v>
      </c>
      <c r="C73" s="19" t="s">
        <v>119</v>
      </c>
      <c r="D73" s="21" t="n">
        <f aca="false">Cálculos!$E$71</f>
        <v>38.13</v>
      </c>
      <c r="E73" s="20" t="s">
        <v>226</v>
      </c>
      <c r="F73" s="25" t="s">
        <v>144</v>
      </c>
    </row>
    <row r="74" customFormat="false" ht="15" hidden="false" customHeight="false" outlineLevel="0" collapsed="false">
      <c r="A74" s="19" t="s">
        <v>233</v>
      </c>
      <c r="B74" s="20" t="s">
        <v>234</v>
      </c>
      <c r="C74" s="19" t="s">
        <v>119</v>
      </c>
      <c r="D74" s="21" t="n">
        <f aca="false">Cálculos!$E$72</f>
        <v>9.12</v>
      </c>
      <c r="E74" s="20" t="s">
        <v>226</v>
      </c>
      <c r="F74" s="25" t="s">
        <v>144</v>
      </c>
    </row>
    <row r="75" customFormat="false" ht="15" hidden="false" customHeight="false" outlineLevel="0" collapsed="false">
      <c r="A75" s="19" t="s">
        <v>235</v>
      </c>
      <c r="B75" s="20" t="s">
        <v>236</v>
      </c>
      <c r="C75" s="19" t="s">
        <v>119</v>
      </c>
      <c r="D75" s="21" t="n">
        <f aca="false">Cálculos!$E$73</f>
        <v>9.6</v>
      </c>
      <c r="E75" s="20" t="s">
        <v>226</v>
      </c>
      <c r="F75" s="25" t="s">
        <v>144</v>
      </c>
    </row>
    <row r="76" customFormat="false" ht="15" hidden="false" customHeight="false" outlineLevel="0" collapsed="false">
      <c r="A76" s="19" t="s">
        <v>237</v>
      </c>
      <c r="B76" s="20" t="s">
        <v>238</v>
      </c>
      <c r="C76" s="19" t="s">
        <v>187</v>
      </c>
      <c r="D76" s="21" t="n">
        <f aca="false">7</f>
        <v>7</v>
      </c>
      <c r="E76" s="20" t="s">
        <v>226</v>
      </c>
      <c r="F76" s="25" t="s">
        <v>144</v>
      </c>
    </row>
    <row r="77" customFormat="false" ht="15" hidden="false" customHeight="false" outlineLevel="0" collapsed="false">
      <c r="A77" s="19" t="s">
        <v>239</v>
      </c>
      <c r="B77" s="20" t="s">
        <v>240</v>
      </c>
      <c r="C77" s="19" t="s">
        <v>187</v>
      </c>
      <c r="D77" s="21" t="n">
        <f aca="false">1</f>
        <v>1</v>
      </c>
      <c r="E77" s="20" t="s">
        <v>241</v>
      </c>
      <c r="F77" s="24" t="s">
        <v>56</v>
      </c>
    </row>
    <row r="78" customFormat="false" ht="15" hidden="false" customHeight="false" outlineLevel="0" collapsed="false">
      <c r="A78" s="18" t="s">
        <v>242</v>
      </c>
      <c r="B78" s="18" t="s">
        <v>243</v>
      </c>
      <c r="C78" s="18"/>
      <c r="D78" s="18"/>
      <c r="E78" s="18"/>
      <c r="F78" s="18"/>
    </row>
    <row r="79" customFormat="false" ht="15" hidden="false" customHeight="false" outlineLevel="0" collapsed="false">
      <c r="A79" s="19" t="s">
        <v>244</v>
      </c>
      <c r="B79" s="20" t="s">
        <v>245</v>
      </c>
      <c r="C79" s="19" t="s">
        <v>119</v>
      </c>
      <c r="D79" s="21" t="n">
        <f aca="false">Cálculos!$E$74</f>
        <v>20.99</v>
      </c>
      <c r="E79" s="20" t="s">
        <v>246</v>
      </c>
      <c r="F79" s="25" t="s">
        <v>144</v>
      </c>
    </row>
    <row r="80" customFormat="false" ht="15" hidden="false" customHeight="false" outlineLevel="0" collapsed="false">
      <c r="A80" s="19" t="s">
        <v>247</v>
      </c>
      <c r="B80" s="20" t="s">
        <v>248</v>
      </c>
      <c r="C80" s="19" t="s">
        <v>119</v>
      </c>
      <c r="D80" s="21" t="n">
        <f aca="false">Cálculos!$E$75</f>
        <v>22.34</v>
      </c>
      <c r="E80" s="20" t="s">
        <v>246</v>
      </c>
      <c r="F80" s="25" t="s">
        <v>144</v>
      </c>
    </row>
    <row r="81" customFormat="false" ht="15" hidden="false" customHeight="false" outlineLevel="0" collapsed="false">
      <c r="A81" s="19" t="s">
        <v>249</v>
      </c>
      <c r="B81" s="20" t="s">
        <v>250</v>
      </c>
      <c r="C81" s="19" t="s">
        <v>119</v>
      </c>
      <c r="D81" s="21" t="n">
        <f aca="false">Cálculos!$E$76</f>
        <v>2.72</v>
      </c>
      <c r="E81" s="20" t="s">
        <v>246</v>
      </c>
      <c r="F81" s="25" t="s">
        <v>144</v>
      </c>
    </row>
    <row r="82" customFormat="false" ht="15" hidden="false" customHeight="false" outlineLevel="0" collapsed="false">
      <c r="A82" s="19" t="s">
        <v>251</v>
      </c>
      <c r="B82" s="20" t="s">
        <v>252</v>
      </c>
      <c r="C82" s="19" t="s">
        <v>119</v>
      </c>
      <c r="D82" s="21" t="n">
        <f aca="false">Cálculos!$E$77</f>
        <v>20.98</v>
      </c>
      <c r="E82" s="20" t="s">
        <v>246</v>
      </c>
      <c r="F82" s="25" t="s">
        <v>144</v>
      </c>
    </row>
    <row r="83" customFormat="false" ht="15" hidden="false" customHeight="false" outlineLevel="0" collapsed="false">
      <c r="A83" s="19" t="s">
        <v>253</v>
      </c>
      <c r="B83" s="20" t="s">
        <v>254</v>
      </c>
      <c r="C83" s="19" t="s">
        <v>187</v>
      </c>
      <c r="D83" s="21" t="n">
        <f aca="false">4</f>
        <v>4</v>
      </c>
      <c r="E83" s="20" t="s">
        <v>246</v>
      </c>
      <c r="F83" s="25" t="s">
        <v>144</v>
      </c>
    </row>
    <row r="84" customFormat="false" ht="15" hidden="false" customHeight="false" outlineLevel="0" collapsed="false">
      <c r="A84" s="19" t="s">
        <v>255</v>
      </c>
      <c r="B84" s="20" t="s">
        <v>256</v>
      </c>
      <c r="C84" s="19" t="s">
        <v>187</v>
      </c>
      <c r="D84" s="21" t="n">
        <f aca="false">1</f>
        <v>1</v>
      </c>
      <c r="E84" s="20" t="s">
        <v>257</v>
      </c>
      <c r="F84" s="24" t="s">
        <v>56</v>
      </c>
    </row>
    <row r="85" customFormat="false" ht="15" hidden="false" customHeight="false" outlineLevel="0" collapsed="false">
      <c r="A85" s="18" t="s">
        <v>258</v>
      </c>
      <c r="B85" s="18" t="s">
        <v>259</v>
      </c>
      <c r="C85" s="18"/>
      <c r="D85" s="18"/>
      <c r="E85" s="18"/>
      <c r="F85" s="18"/>
    </row>
    <row r="86" customFormat="false" ht="15" hidden="false" customHeight="false" outlineLevel="0" collapsed="false">
      <c r="A86" s="19" t="s">
        <v>260</v>
      </c>
      <c r="B86" s="20" t="s">
        <v>261</v>
      </c>
      <c r="C86" s="19" t="s">
        <v>187</v>
      </c>
      <c r="D86" s="21" t="n">
        <f aca="false">4</f>
        <v>4</v>
      </c>
      <c r="E86" s="20" t="s">
        <v>262</v>
      </c>
      <c r="F86" s="25" t="s">
        <v>144</v>
      </c>
    </row>
    <row r="87" customFormat="false" ht="15" hidden="false" customHeight="false" outlineLevel="0" collapsed="false">
      <c r="A87" s="19" t="s">
        <v>263</v>
      </c>
      <c r="B87" s="20" t="s">
        <v>264</v>
      </c>
      <c r="C87" s="19" t="s">
        <v>187</v>
      </c>
      <c r="D87" s="21" t="n">
        <f aca="false">4</f>
        <v>4</v>
      </c>
      <c r="E87" s="20" t="s">
        <v>262</v>
      </c>
      <c r="F87" s="25" t="s">
        <v>144</v>
      </c>
    </row>
    <row r="88" customFormat="false" ht="15" hidden="false" customHeight="false" outlineLevel="0" collapsed="false">
      <c r="A88" s="19" t="s">
        <v>265</v>
      </c>
      <c r="B88" s="20" t="s">
        <v>266</v>
      </c>
      <c r="C88" s="19" t="s">
        <v>187</v>
      </c>
      <c r="D88" s="21" t="n">
        <f aca="false">3</f>
        <v>3</v>
      </c>
      <c r="E88" s="20" t="s">
        <v>262</v>
      </c>
      <c r="F88" s="25" t="s">
        <v>144</v>
      </c>
    </row>
    <row r="89" customFormat="false" ht="15" hidden="false" customHeight="false" outlineLevel="0" collapsed="false">
      <c r="A89" s="19" t="s">
        <v>267</v>
      </c>
      <c r="B89" s="20" t="s">
        <v>268</v>
      </c>
      <c r="C89" s="19" t="s">
        <v>187</v>
      </c>
      <c r="D89" s="21" t="n">
        <f aca="false">4+3+2</f>
        <v>9</v>
      </c>
      <c r="E89" s="20" t="s">
        <v>269</v>
      </c>
      <c r="F89" s="24" t="s">
        <v>56</v>
      </c>
    </row>
    <row r="90" customFormat="false" ht="15" hidden="false" customHeight="false" outlineLevel="0" collapsed="false">
      <c r="A90" s="19" t="s">
        <v>270</v>
      </c>
      <c r="B90" s="20" t="s">
        <v>271</v>
      </c>
      <c r="C90" s="19" t="s">
        <v>187</v>
      </c>
      <c r="D90" s="21" t="n">
        <f aca="false">2</f>
        <v>2</v>
      </c>
      <c r="E90" s="20" t="s">
        <v>262</v>
      </c>
      <c r="F90" s="25" t="s">
        <v>144</v>
      </c>
    </row>
    <row r="91" customFormat="false" ht="15" hidden="false" customHeight="false" outlineLevel="0" collapsed="false">
      <c r="A91" s="18" t="s">
        <v>272</v>
      </c>
      <c r="B91" s="18" t="s">
        <v>273</v>
      </c>
      <c r="C91" s="18"/>
      <c r="D91" s="18"/>
      <c r="E91" s="18"/>
      <c r="F91" s="18"/>
    </row>
    <row r="92" customFormat="false" ht="15" hidden="false" customHeight="false" outlineLevel="0" collapsed="false">
      <c r="A92" s="19" t="s">
        <v>274</v>
      </c>
      <c r="B92" s="20" t="s">
        <v>275</v>
      </c>
      <c r="C92" s="19" t="s">
        <v>37</v>
      </c>
      <c r="D92" s="21" t="n">
        <f aca="false">1</f>
        <v>1</v>
      </c>
      <c r="E92" s="20" t="s">
        <v>276</v>
      </c>
      <c r="F92" s="25" t="s">
        <v>144</v>
      </c>
    </row>
    <row r="93" customFormat="false" ht="15" hidden="false" customHeight="false" outlineLevel="0" collapsed="false">
      <c r="A93" s="19" t="s">
        <v>277</v>
      </c>
      <c r="B93" s="20" t="s">
        <v>278</v>
      </c>
      <c r="C93" s="19" t="s">
        <v>187</v>
      </c>
      <c r="D93" s="21" t="n">
        <f aca="false">1</f>
        <v>1</v>
      </c>
      <c r="E93" s="20" t="s">
        <v>279</v>
      </c>
      <c r="F93" s="25" t="s">
        <v>144</v>
      </c>
    </row>
    <row r="94" customFormat="false" ht="15" hidden="false" customHeight="false" outlineLevel="0" collapsed="false">
      <c r="A94" s="19" t="s">
        <v>280</v>
      </c>
      <c r="B94" s="20" t="s">
        <v>281</v>
      </c>
      <c r="C94" s="19" t="s">
        <v>187</v>
      </c>
      <c r="D94" s="21" t="n">
        <f aca="false">2</f>
        <v>2</v>
      </c>
      <c r="E94" s="20" t="s">
        <v>282</v>
      </c>
      <c r="F94" s="25" t="s">
        <v>144</v>
      </c>
    </row>
    <row r="95" customFormat="false" ht="15" hidden="false" customHeight="false" outlineLevel="0" collapsed="false">
      <c r="A95" s="19" t="s">
        <v>283</v>
      </c>
      <c r="B95" s="20" t="s">
        <v>284</v>
      </c>
      <c r="C95" s="19" t="s">
        <v>187</v>
      </c>
      <c r="D95" s="21" t="n">
        <f aca="false">1</f>
        <v>1</v>
      </c>
      <c r="E95" s="20" t="s">
        <v>276</v>
      </c>
      <c r="F95" s="25" t="s">
        <v>144</v>
      </c>
    </row>
    <row r="96" customFormat="false" ht="15" hidden="false" customHeight="false" outlineLevel="0" collapsed="false">
      <c r="A96" s="19" t="s">
        <v>285</v>
      </c>
      <c r="B96" s="20" t="s">
        <v>286</v>
      </c>
      <c r="C96" s="19" t="s">
        <v>119</v>
      </c>
      <c r="D96" s="21" t="n">
        <f aca="false">30</f>
        <v>30</v>
      </c>
      <c r="E96" s="20" t="s">
        <v>287</v>
      </c>
      <c r="F96" s="22" t="s">
        <v>39</v>
      </c>
    </row>
    <row r="97" customFormat="false" ht="15" hidden="false" customHeight="false" outlineLevel="0" collapsed="false">
      <c r="A97" s="19" t="s">
        <v>288</v>
      </c>
      <c r="B97" s="20" t="s">
        <v>289</v>
      </c>
      <c r="C97" s="19" t="s">
        <v>187</v>
      </c>
      <c r="D97" s="21" t="n">
        <f aca="false">Cálculos!$E$78</f>
        <v>51</v>
      </c>
      <c r="E97" s="20" t="s">
        <v>290</v>
      </c>
      <c r="F97" s="22" t="s">
        <v>39</v>
      </c>
    </row>
    <row r="98" customFormat="false" ht="15" hidden="false" customHeight="false" outlineLevel="0" collapsed="false">
      <c r="A98" s="19" t="s">
        <v>291</v>
      </c>
      <c r="B98" s="20" t="s">
        <v>292</v>
      </c>
      <c r="C98" s="19" t="s">
        <v>187</v>
      </c>
      <c r="D98" s="21" t="n">
        <f aca="false">Cálculos!$E$79</f>
        <v>71</v>
      </c>
      <c r="E98" s="20" t="s">
        <v>293</v>
      </c>
      <c r="F98" s="22" t="s">
        <v>39</v>
      </c>
    </row>
    <row r="99" customFormat="false" ht="15" hidden="false" customHeight="false" outlineLevel="0" collapsed="false">
      <c r="A99" s="19" t="s">
        <v>294</v>
      </c>
      <c r="B99" s="20" t="s">
        <v>295</v>
      </c>
      <c r="C99" s="19" t="s">
        <v>37</v>
      </c>
      <c r="D99" s="21" t="n">
        <f aca="false">1</f>
        <v>1</v>
      </c>
      <c r="E99" s="20" t="s">
        <v>296</v>
      </c>
      <c r="F99" s="25" t="s">
        <v>144</v>
      </c>
    </row>
    <row r="100" customFormat="false" ht="15" hidden="false" customHeight="false" outlineLevel="0" collapsed="false">
      <c r="A100" s="19" t="s">
        <v>297</v>
      </c>
      <c r="B100" s="20" t="s">
        <v>298</v>
      </c>
      <c r="C100" s="19" t="s">
        <v>37</v>
      </c>
      <c r="D100" s="21" t="n">
        <f aca="false">1</f>
        <v>1</v>
      </c>
      <c r="E100" s="20" t="s">
        <v>299</v>
      </c>
      <c r="F100" s="25" t="s">
        <v>144</v>
      </c>
    </row>
    <row r="101" customFormat="false" ht="15" hidden="false" customHeight="false" outlineLevel="0" collapsed="false">
      <c r="A101" s="19" t="s">
        <v>300</v>
      </c>
      <c r="B101" s="20" t="s">
        <v>301</v>
      </c>
      <c r="C101" s="19" t="s">
        <v>187</v>
      </c>
      <c r="D101" s="21" t="n">
        <f aca="false">2</f>
        <v>2</v>
      </c>
      <c r="E101" s="20" t="s">
        <v>302</v>
      </c>
      <c r="F101" s="24" t="s">
        <v>56</v>
      </c>
    </row>
    <row r="102" customFormat="false" ht="15" hidden="false" customHeight="false" outlineLevel="0" collapsed="false">
      <c r="A102" s="19" t="s">
        <v>303</v>
      </c>
      <c r="B102" s="20" t="s">
        <v>304</v>
      </c>
      <c r="C102" s="19" t="s">
        <v>37</v>
      </c>
      <c r="D102" s="21" t="n">
        <f aca="false">1</f>
        <v>1</v>
      </c>
      <c r="E102" s="20" t="s">
        <v>305</v>
      </c>
      <c r="F102" s="23" t="s">
        <v>43</v>
      </c>
    </row>
    <row r="103" customFormat="false" ht="15" hidden="false" customHeight="false" outlineLevel="0" collapsed="false">
      <c r="A103" s="19" t="s">
        <v>306</v>
      </c>
      <c r="B103" s="20" t="s">
        <v>307</v>
      </c>
      <c r="C103" s="19" t="s">
        <v>37</v>
      </c>
      <c r="D103" s="21" t="n">
        <f aca="false">1</f>
        <v>1</v>
      </c>
      <c r="E103" s="20" t="s">
        <v>308</v>
      </c>
      <c r="F103" s="22" t="s">
        <v>39</v>
      </c>
    </row>
    <row r="104" customFormat="false" ht="15" hidden="false" customHeight="false" outlineLevel="0" collapsed="false">
      <c r="A104" s="18" t="s">
        <v>309</v>
      </c>
      <c r="B104" s="18" t="s">
        <v>310</v>
      </c>
      <c r="C104" s="18"/>
      <c r="D104" s="18"/>
      <c r="E104" s="18"/>
      <c r="F104" s="18"/>
    </row>
    <row r="105" customFormat="false" ht="15" hidden="false" customHeight="false" outlineLevel="0" collapsed="false">
      <c r="A105" s="19" t="s">
        <v>311</v>
      </c>
      <c r="B105" s="20" t="s">
        <v>312</v>
      </c>
      <c r="C105" s="19" t="s">
        <v>119</v>
      </c>
      <c r="D105" s="21" t="n">
        <f aca="false">136</f>
        <v>136</v>
      </c>
      <c r="E105" s="20" t="s">
        <v>313</v>
      </c>
      <c r="F105" s="25" t="s">
        <v>144</v>
      </c>
    </row>
    <row r="106" customFormat="false" ht="15" hidden="false" customHeight="false" outlineLevel="0" collapsed="false">
      <c r="A106" s="19" t="s">
        <v>314</v>
      </c>
      <c r="B106" s="20" t="s">
        <v>315</v>
      </c>
      <c r="C106" s="19" t="s">
        <v>119</v>
      </c>
      <c r="D106" s="21" t="n">
        <f aca="false">150</f>
        <v>150</v>
      </c>
      <c r="E106" s="20" t="s">
        <v>313</v>
      </c>
      <c r="F106" s="25" t="s">
        <v>144</v>
      </c>
    </row>
    <row r="107" customFormat="false" ht="15" hidden="false" customHeight="false" outlineLevel="0" collapsed="false">
      <c r="A107" s="19" t="s">
        <v>316</v>
      </c>
      <c r="B107" s="20" t="s">
        <v>317</v>
      </c>
      <c r="C107" s="19" t="s">
        <v>187</v>
      </c>
      <c r="D107" s="21" t="n">
        <f aca="false">18</f>
        <v>18</v>
      </c>
      <c r="E107" s="20" t="s">
        <v>313</v>
      </c>
      <c r="F107" s="25" t="s">
        <v>144</v>
      </c>
    </row>
    <row r="108" customFormat="false" ht="22.35" hidden="false" customHeight="false" outlineLevel="0" collapsed="false">
      <c r="A108" s="19" t="s">
        <v>318</v>
      </c>
      <c r="B108" s="20" t="s">
        <v>319</v>
      </c>
      <c r="C108" s="19" t="s">
        <v>187</v>
      </c>
      <c r="D108" s="21" t="n">
        <f aca="false">1</f>
        <v>1</v>
      </c>
      <c r="E108" s="20" t="s">
        <v>320</v>
      </c>
      <c r="F108" s="24" t="s">
        <v>56</v>
      </c>
    </row>
    <row r="109" customFormat="false" ht="15" hidden="false" customHeight="false" outlineLevel="0" collapsed="false">
      <c r="A109" s="19" t="s">
        <v>321</v>
      </c>
      <c r="B109" s="20" t="s">
        <v>322</v>
      </c>
      <c r="C109" s="19" t="s">
        <v>187</v>
      </c>
      <c r="D109" s="21" t="n">
        <f aca="false">1</f>
        <v>1</v>
      </c>
      <c r="E109" s="20" t="s">
        <v>313</v>
      </c>
      <c r="F109" s="25" t="s">
        <v>144</v>
      </c>
    </row>
    <row r="110" customFormat="false" ht="15" hidden="false" customHeight="false" outlineLevel="0" collapsed="false">
      <c r="A110" s="19" t="s">
        <v>323</v>
      </c>
      <c r="B110" s="20" t="s">
        <v>324</v>
      </c>
      <c r="C110" s="19" t="s">
        <v>119</v>
      </c>
      <c r="D110" s="21" t="n">
        <f aca="false">163</f>
        <v>163</v>
      </c>
      <c r="E110" s="20" t="s">
        <v>313</v>
      </c>
      <c r="F110" s="25" t="s">
        <v>144</v>
      </c>
    </row>
    <row r="111" customFormat="false" ht="15" hidden="false" customHeight="false" outlineLevel="0" collapsed="false">
      <c r="A111" s="19" t="s">
        <v>325</v>
      </c>
      <c r="B111" s="20" t="s">
        <v>326</v>
      </c>
      <c r="C111" s="19" t="s">
        <v>119</v>
      </c>
      <c r="D111" s="21" t="n">
        <f aca="false">163</f>
        <v>163</v>
      </c>
      <c r="E111" s="20" t="s">
        <v>313</v>
      </c>
      <c r="F111" s="25" t="s">
        <v>144</v>
      </c>
    </row>
    <row r="112" customFormat="false" ht="15" hidden="false" customHeight="false" outlineLevel="0" collapsed="false">
      <c r="A112" s="19" t="s">
        <v>327</v>
      </c>
      <c r="B112" s="20" t="s">
        <v>328</v>
      </c>
      <c r="C112" s="19" t="s">
        <v>119</v>
      </c>
      <c r="D112" s="21" t="n">
        <f aca="false">15</f>
        <v>15</v>
      </c>
      <c r="E112" s="20" t="s">
        <v>313</v>
      </c>
      <c r="F112" s="25" t="s">
        <v>144</v>
      </c>
    </row>
    <row r="113" customFormat="false" ht="15" hidden="false" customHeight="false" outlineLevel="0" collapsed="false">
      <c r="A113" s="19" t="s">
        <v>329</v>
      </c>
      <c r="B113" s="20" t="s">
        <v>330</v>
      </c>
      <c r="C113" s="19" t="s">
        <v>119</v>
      </c>
      <c r="D113" s="21" t="n">
        <f aca="false">40</f>
        <v>40</v>
      </c>
      <c r="E113" s="20" t="s">
        <v>313</v>
      </c>
      <c r="F113" s="25" t="s">
        <v>144</v>
      </c>
    </row>
    <row r="114" customFormat="false" ht="15" hidden="false" customHeight="false" outlineLevel="0" collapsed="false">
      <c r="A114" s="19" t="s">
        <v>331</v>
      </c>
      <c r="B114" s="20" t="s">
        <v>332</v>
      </c>
      <c r="C114" s="19" t="s">
        <v>187</v>
      </c>
      <c r="D114" s="21" t="n">
        <f aca="false">2</f>
        <v>2</v>
      </c>
      <c r="E114" s="20" t="s">
        <v>313</v>
      </c>
      <c r="F114" s="25" t="s">
        <v>144</v>
      </c>
    </row>
    <row r="115" customFormat="false" ht="15" hidden="false" customHeight="false" outlineLevel="0" collapsed="false">
      <c r="A115" s="19" t="s">
        <v>333</v>
      </c>
      <c r="B115" s="20" t="s">
        <v>334</v>
      </c>
      <c r="C115" s="19" t="s">
        <v>187</v>
      </c>
      <c r="D115" s="21" t="n">
        <f aca="false">9</f>
        <v>9</v>
      </c>
      <c r="E115" s="20" t="s">
        <v>313</v>
      </c>
      <c r="F115" s="25" t="s">
        <v>144</v>
      </c>
    </row>
    <row r="116" customFormat="false" ht="15" hidden="false" customHeight="false" outlineLevel="0" collapsed="false">
      <c r="A116" s="19" t="s">
        <v>335</v>
      </c>
      <c r="B116" s="20" t="s">
        <v>336</v>
      </c>
      <c r="C116" s="19" t="s">
        <v>187</v>
      </c>
      <c r="D116" s="21" t="n">
        <f aca="false">9</f>
        <v>9</v>
      </c>
      <c r="E116" s="20" t="s">
        <v>313</v>
      </c>
      <c r="F116" s="25" t="s">
        <v>144</v>
      </c>
    </row>
    <row r="117" customFormat="false" ht="15" hidden="false" customHeight="false" outlineLevel="0" collapsed="false">
      <c r="A117" s="19" t="s">
        <v>337</v>
      </c>
      <c r="B117" s="20" t="s">
        <v>338</v>
      </c>
      <c r="C117" s="19" t="s">
        <v>187</v>
      </c>
      <c r="D117" s="21" t="n">
        <f aca="false">2</f>
        <v>2</v>
      </c>
      <c r="E117" s="20" t="s">
        <v>313</v>
      </c>
      <c r="F117" s="25" t="s">
        <v>144</v>
      </c>
    </row>
    <row r="118" customFormat="false" ht="15" hidden="false" customHeight="false" outlineLevel="0" collapsed="false">
      <c r="A118" s="19" t="s">
        <v>339</v>
      </c>
      <c r="B118" s="20" t="s">
        <v>340</v>
      </c>
      <c r="C118" s="19" t="s">
        <v>37</v>
      </c>
      <c r="D118" s="21" t="n">
        <f aca="false">1</f>
        <v>1</v>
      </c>
      <c r="E118" s="20" t="s">
        <v>313</v>
      </c>
      <c r="F118" s="25" t="s">
        <v>144</v>
      </c>
    </row>
    <row r="119" customFormat="false" ht="15" hidden="false" customHeight="false" outlineLevel="0" collapsed="false">
      <c r="A119" s="19" t="s">
        <v>341</v>
      </c>
      <c r="B119" s="20" t="s">
        <v>342</v>
      </c>
      <c r="C119" s="19" t="s">
        <v>37</v>
      </c>
      <c r="D119" s="21" t="n">
        <f aca="false">1</f>
        <v>1</v>
      </c>
      <c r="E119" s="20" t="s">
        <v>313</v>
      </c>
      <c r="F119" s="25" t="s">
        <v>144</v>
      </c>
    </row>
    <row r="120" customFormat="false" ht="15" hidden="false" customHeight="false" outlineLevel="0" collapsed="false">
      <c r="A120" s="19" t="s">
        <v>343</v>
      </c>
      <c r="B120" s="20" t="s">
        <v>344</v>
      </c>
      <c r="C120" s="19" t="s">
        <v>37</v>
      </c>
      <c r="D120" s="21" t="n">
        <f aca="false">1</f>
        <v>1</v>
      </c>
      <c r="E120" s="20" t="s">
        <v>313</v>
      </c>
      <c r="F120" s="25" t="s">
        <v>144</v>
      </c>
    </row>
    <row r="121" customFormat="false" ht="15" hidden="false" customHeight="false" outlineLevel="0" collapsed="false">
      <c r="A121" s="18" t="s">
        <v>345</v>
      </c>
      <c r="B121" s="18" t="s">
        <v>346</v>
      </c>
      <c r="C121" s="18"/>
      <c r="D121" s="18"/>
      <c r="E121" s="18"/>
      <c r="F121" s="18"/>
    </row>
    <row r="122" customFormat="false" ht="15" hidden="false" customHeight="false" outlineLevel="0" collapsed="false">
      <c r="A122" s="19" t="s">
        <v>347</v>
      </c>
      <c r="B122" s="20" t="s">
        <v>348</v>
      </c>
      <c r="C122" s="19" t="s">
        <v>119</v>
      </c>
      <c r="D122" s="21" t="n">
        <f aca="false">20.7+17</f>
        <v>37.7</v>
      </c>
      <c r="E122" s="20" t="s">
        <v>349</v>
      </c>
      <c r="F122" s="24" t="s">
        <v>56</v>
      </c>
    </row>
    <row r="123" customFormat="false" ht="15" hidden="false" customHeight="false" outlineLevel="0" collapsed="false">
      <c r="A123" s="19" t="s">
        <v>350</v>
      </c>
      <c r="B123" s="20" t="s">
        <v>351</v>
      </c>
      <c r="C123" s="19" t="s">
        <v>119</v>
      </c>
      <c r="D123" s="21" t="n">
        <f aca="false">10</f>
        <v>10</v>
      </c>
      <c r="E123" s="20" t="s">
        <v>352</v>
      </c>
      <c r="F123" s="22" t="s">
        <v>39</v>
      </c>
    </row>
    <row r="124" customFormat="false" ht="15" hidden="false" customHeight="false" outlineLevel="0" collapsed="false">
      <c r="A124" s="19" t="s">
        <v>353</v>
      </c>
      <c r="B124" s="20" t="s">
        <v>354</v>
      </c>
      <c r="C124" s="19" t="s">
        <v>187</v>
      </c>
      <c r="D124" s="21" t="n">
        <f aca="false">2</f>
        <v>2</v>
      </c>
      <c r="E124" s="20" t="s">
        <v>355</v>
      </c>
      <c r="F124" s="25" t="s">
        <v>144</v>
      </c>
    </row>
    <row r="125" customFormat="false" ht="15" hidden="false" customHeight="false" outlineLevel="0" collapsed="false">
      <c r="A125" s="19" t="s">
        <v>356</v>
      </c>
      <c r="B125" s="20" t="s">
        <v>357</v>
      </c>
      <c r="C125" s="19" t="s">
        <v>37</v>
      </c>
      <c r="D125" s="21" t="n">
        <f aca="false">1</f>
        <v>1</v>
      </c>
      <c r="E125" s="20" t="s">
        <v>358</v>
      </c>
      <c r="F125" s="25" t="s">
        <v>144</v>
      </c>
    </row>
    <row r="126" customFormat="false" ht="15" hidden="false" customHeight="false" outlineLevel="0" collapsed="false">
      <c r="A126" s="18" t="s">
        <v>359</v>
      </c>
      <c r="B126" s="18" t="s">
        <v>360</v>
      </c>
      <c r="C126" s="18"/>
      <c r="D126" s="18"/>
      <c r="E126" s="18"/>
      <c r="F126" s="18"/>
    </row>
    <row r="127" customFormat="false" ht="15" hidden="false" customHeight="false" outlineLevel="0" collapsed="false">
      <c r="A127" s="19" t="s">
        <v>361</v>
      </c>
      <c r="B127" s="20" t="s">
        <v>362</v>
      </c>
      <c r="C127" s="19" t="s">
        <v>187</v>
      </c>
      <c r="D127" s="21" t="n">
        <f aca="false">2</f>
        <v>2</v>
      </c>
      <c r="E127" s="20" t="s">
        <v>363</v>
      </c>
      <c r="F127" s="25" t="s">
        <v>144</v>
      </c>
    </row>
    <row r="128" customFormat="false" ht="15" hidden="false" customHeight="false" outlineLevel="0" collapsed="false">
      <c r="A128" s="19" t="s">
        <v>364</v>
      </c>
      <c r="B128" s="20" t="s">
        <v>365</v>
      </c>
      <c r="C128" s="19" t="s">
        <v>187</v>
      </c>
      <c r="D128" s="21" t="n">
        <f aca="false">Cálculos!$E$80</f>
        <v>10</v>
      </c>
      <c r="E128" s="20" t="s">
        <v>366</v>
      </c>
      <c r="F128" s="22" t="s">
        <v>39</v>
      </c>
    </row>
    <row r="129" customFormat="false" ht="15" hidden="false" customHeight="false" outlineLevel="0" collapsed="false">
      <c r="A129" s="19" t="s">
        <v>367</v>
      </c>
      <c r="B129" s="20" t="s">
        <v>368</v>
      </c>
      <c r="C129" s="19" t="s">
        <v>119</v>
      </c>
      <c r="D129" s="21" t="n">
        <f aca="false">Cálculos!$E$81</f>
        <v>120</v>
      </c>
      <c r="E129" s="20" t="s">
        <v>369</v>
      </c>
      <c r="F129" s="22" t="s">
        <v>39</v>
      </c>
    </row>
    <row r="130" customFormat="false" ht="15" hidden="false" customHeight="false" outlineLevel="0" collapsed="false">
      <c r="A130" s="19" t="s">
        <v>370</v>
      </c>
      <c r="B130" s="20" t="s">
        <v>371</v>
      </c>
      <c r="C130" s="19" t="s">
        <v>187</v>
      </c>
      <c r="D130" s="21" t="n">
        <f aca="false">4</f>
        <v>4</v>
      </c>
      <c r="E130" s="20" t="s">
        <v>372</v>
      </c>
      <c r="F130" s="24" t="s">
        <v>56</v>
      </c>
    </row>
    <row r="131" customFormat="false" ht="15" hidden="false" customHeight="false" outlineLevel="0" collapsed="false">
      <c r="A131" s="19" t="s">
        <v>373</v>
      </c>
      <c r="B131" s="20" t="s">
        <v>374</v>
      </c>
      <c r="C131" s="19" t="s">
        <v>187</v>
      </c>
      <c r="D131" s="21" t="n">
        <f aca="false">12</f>
        <v>12</v>
      </c>
      <c r="E131" s="20" t="s">
        <v>375</v>
      </c>
      <c r="F131" s="22" t="s">
        <v>39</v>
      </c>
    </row>
    <row r="132" customFormat="false" ht="15" hidden="false" customHeight="false" outlineLevel="0" collapsed="false">
      <c r="A132" s="19" t="s">
        <v>376</v>
      </c>
      <c r="B132" s="20" t="s">
        <v>377</v>
      </c>
      <c r="C132" s="19" t="s">
        <v>187</v>
      </c>
      <c r="D132" s="21" t="n">
        <f aca="false">2</f>
        <v>2</v>
      </c>
      <c r="E132" s="20" t="s">
        <v>378</v>
      </c>
      <c r="F132" s="22" t="s">
        <v>39</v>
      </c>
    </row>
    <row r="133" customFormat="false" ht="15" hidden="false" customHeight="false" outlineLevel="0" collapsed="false">
      <c r="A133" s="18" t="s">
        <v>379</v>
      </c>
      <c r="B133" s="18" t="s">
        <v>380</v>
      </c>
      <c r="C133" s="18"/>
      <c r="D133" s="18"/>
      <c r="E133" s="18"/>
      <c r="F133" s="18"/>
    </row>
    <row r="134" customFormat="false" ht="15" hidden="false" customHeight="false" outlineLevel="0" collapsed="false">
      <c r="A134" s="19" t="s">
        <v>381</v>
      </c>
      <c r="B134" s="20" t="s">
        <v>382</v>
      </c>
      <c r="C134" s="19" t="s">
        <v>187</v>
      </c>
      <c r="D134" s="21" t="n">
        <f aca="false">1</f>
        <v>1</v>
      </c>
      <c r="E134" s="20" t="s">
        <v>383</v>
      </c>
      <c r="F134" s="24" t="s">
        <v>56</v>
      </c>
    </row>
    <row r="135" customFormat="false" ht="15" hidden="false" customHeight="false" outlineLevel="0" collapsed="false">
      <c r="A135" s="19" t="s">
        <v>384</v>
      </c>
      <c r="B135" s="20" t="s">
        <v>385</v>
      </c>
      <c r="C135" s="19" t="s">
        <v>37</v>
      </c>
      <c r="D135" s="21" t="n">
        <f aca="false">1</f>
        <v>1</v>
      </c>
      <c r="E135" s="20" t="s">
        <v>386</v>
      </c>
      <c r="F135" s="22" t="s">
        <v>39</v>
      </c>
    </row>
    <row r="136" customFormat="false" ht="15" hidden="false" customHeight="false" outlineLevel="0" collapsed="false">
      <c r="A136" s="19" t="s">
        <v>387</v>
      </c>
      <c r="B136" s="20" t="s">
        <v>388</v>
      </c>
      <c r="C136" s="19" t="s">
        <v>37</v>
      </c>
      <c r="D136" s="21" t="n">
        <f aca="false">1</f>
        <v>1</v>
      </c>
      <c r="E136" s="20" t="s">
        <v>389</v>
      </c>
      <c r="F136" s="22" t="s">
        <v>39</v>
      </c>
    </row>
    <row r="137" customFormat="false" ht="15" hidden="false" customHeight="false" outlineLevel="0" collapsed="false">
      <c r="A137" s="19" t="s">
        <v>390</v>
      </c>
      <c r="B137" s="20" t="s">
        <v>391</v>
      </c>
      <c r="C137" s="19" t="s">
        <v>37</v>
      </c>
      <c r="D137" s="21" t="n">
        <f aca="false">1</f>
        <v>1</v>
      </c>
      <c r="E137" s="20" t="s">
        <v>392</v>
      </c>
      <c r="F137" s="23" t="s">
        <v>43</v>
      </c>
    </row>
    <row r="138" customFormat="false" ht="15" hidden="false" customHeight="false" outlineLevel="0" collapsed="false">
      <c r="A138" s="19" t="s">
        <v>393</v>
      </c>
      <c r="B138" s="20" t="s">
        <v>394</v>
      </c>
      <c r="C138" s="19" t="s">
        <v>37</v>
      </c>
      <c r="D138" s="21" t="n">
        <f aca="false">1</f>
        <v>1</v>
      </c>
      <c r="E138" s="20" t="s">
        <v>395</v>
      </c>
      <c r="F138" s="22" t="s">
        <v>39</v>
      </c>
    </row>
  </sheetData>
  <autoFilter ref="A4:F1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1"/>
    <col collapsed="false" customWidth="true" hidden="false" outlineLevel="0" max="5" min="5" style="0" width="11"/>
    <col collapsed="false" customWidth="true" hidden="false" outlineLevel="0" max="6" min="6" style="0" width="5"/>
    <col collapsed="false" customWidth="true" hidden="false" outlineLevel="0" max="7" min="7" style="0" width="42"/>
    <col collapsed="false" customWidth="true" hidden="false" outlineLevel="0" max="8" min="8" style="0" width="6"/>
  </cols>
  <sheetData>
    <row r="1" customFormat="false" ht="16.15" hidden="false" customHeight="false" outlineLevel="0" collapsed="false">
      <c r="A1" s="15" t="s">
        <v>396</v>
      </c>
    </row>
    <row r="3" customFormat="false" ht="15" hidden="false" customHeight="false" outlineLevel="0" collapsed="false">
      <c r="A3" s="26" t="s">
        <v>397</v>
      </c>
      <c r="B3" s="26" t="s">
        <v>28</v>
      </c>
      <c r="C3" s="26" t="s">
        <v>398</v>
      </c>
      <c r="D3" s="26"/>
      <c r="E3" s="26" t="s">
        <v>399</v>
      </c>
      <c r="F3" s="26" t="s">
        <v>29</v>
      </c>
      <c r="G3" s="26" t="s">
        <v>400</v>
      </c>
      <c r="H3" s="26" t="s">
        <v>401</v>
      </c>
    </row>
    <row r="4" customFormat="false" ht="15" hidden="false" customHeight="false" outlineLevel="0" collapsed="false">
      <c r="A4" s="19" t="s">
        <v>402</v>
      </c>
      <c r="B4" s="20" t="s">
        <v>403</v>
      </c>
      <c r="C4" s="27" t="s">
        <v>404</v>
      </c>
      <c r="D4" s="19"/>
      <c r="E4" s="28" t="n">
        <f aca="false">77.5</f>
        <v>77.5</v>
      </c>
      <c r="F4" s="19" t="s">
        <v>82</v>
      </c>
      <c r="G4" s="20" t="s">
        <v>405</v>
      </c>
      <c r="H4" s="29" t="s">
        <v>144</v>
      </c>
    </row>
    <row r="5" customFormat="false" ht="15" hidden="false" customHeight="false" outlineLevel="0" collapsed="false">
      <c r="A5" s="19" t="s">
        <v>406</v>
      </c>
      <c r="B5" s="20" t="s">
        <v>407</v>
      </c>
      <c r="C5" s="27" t="s">
        <v>408</v>
      </c>
      <c r="D5" s="19"/>
      <c r="E5" s="28" t="n">
        <f aca="false">125.5</f>
        <v>125.5</v>
      </c>
      <c r="F5" s="19" t="s">
        <v>82</v>
      </c>
      <c r="G5" s="20" t="s">
        <v>409</v>
      </c>
      <c r="H5" s="29" t="s">
        <v>144</v>
      </c>
    </row>
    <row r="6" customFormat="false" ht="15" hidden="false" customHeight="false" outlineLevel="0" collapsed="false">
      <c r="A6" s="19" t="s">
        <v>410</v>
      </c>
      <c r="B6" s="20" t="s">
        <v>411</v>
      </c>
      <c r="C6" s="27" t="s">
        <v>412</v>
      </c>
      <c r="D6" s="19"/>
      <c r="E6" s="28" t="n">
        <f aca="false">390.6</f>
        <v>390.6</v>
      </c>
      <c r="F6" s="19" t="s">
        <v>82</v>
      </c>
      <c r="G6" s="20" t="s">
        <v>413</v>
      </c>
      <c r="H6" s="29" t="s">
        <v>144</v>
      </c>
    </row>
    <row r="7" customFormat="false" ht="15" hidden="false" customHeight="false" outlineLevel="0" collapsed="false">
      <c r="A7" s="19" t="s">
        <v>414</v>
      </c>
      <c r="B7" s="20" t="s">
        <v>415</v>
      </c>
      <c r="C7" s="27" t="s">
        <v>416</v>
      </c>
      <c r="D7" s="19"/>
      <c r="E7" s="28" t="n">
        <f aca="false">12.7+3.6+13.45</f>
        <v>29.75</v>
      </c>
      <c r="F7" s="19" t="s">
        <v>82</v>
      </c>
      <c r="G7" s="20" t="s">
        <v>417</v>
      </c>
      <c r="H7" s="29" t="s">
        <v>144</v>
      </c>
    </row>
    <row r="8" customFormat="false" ht="15" hidden="false" customHeight="false" outlineLevel="0" collapsed="false">
      <c r="A8" s="19" t="s">
        <v>418</v>
      </c>
      <c r="B8" s="20" t="s">
        <v>419</v>
      </c>
      <c r="C8" s="27" t="s">
        <v>420</v>
      </c>
      <c r="D8" s="19"/>
      <c r="E8" s="28" t="n">
        <f aca="false">20.45+10.3+10.55</f>
        <v>41.3</v>
      </c>
      <c r="F8" s="19" t="s">
        <v>82</v>
      </c>
      <c r="G8" s="20" t="s">
        <v>421</v>
      </c>
      <c r="H8" s="29" t="s">
        <v>144</v>
      </c>
    </row>
    <row r="9" customFormat="false" ht="15" hidden="false" customHeight="false" outlineLevel="0" collapsed="false">
      <c r="A9" s="19" t="s">
        <v>422</v>
      </c>
      <c r="B9" s="20" t="s">
        <v>423</v>
      </c>
      <c r="C9" s="27" t="s">
        <v>424</v>
      </c>
      <c r="D9" s="19"/>
      <c r="E9" s="28" t="n">
        <f aca="false">0.9+0.9+1.75+2.6</f>
        <v>6.15</v>
      </c>
      <c r="F9" s="19" t="s">
        <v>82</v>
      </c>
      <c r="G9" s="20" t="s">
        <v>425</v>
      </c>
      <c r="H9" s="29" t="s">
        <v>144</v>
      </c>
    </row>
    <row r="10" customFormat="false" ht="15" hidden="false" customHeight="false" outlineLevel="0" collapsed="false">
      <c r="A10" s="19" t="s">
        <v>426</v>
      </c>
      <c r="B10" s="20" t="s">
        <v>427</v>
      </c>
      <c r="C10" s="27" t="s">
        <v>428</v>
      </c>
      <c r="D10" s="19"/>
      <c r="E10" s="28" t="n">
        <f aca="false">31.32/1.8</f>
        <v>17.4</v>
      </c>
      <c r="F10" s="19" t="s">
        <v>82</v>
      </c>
      <c r="G10" s="20" t="s">
        <v>429</v>
      </c>
      <c r="H10" s="30" t="s">
        <v>56</v>
      </c>
    </row>
    <row r="11" customFormat="false" ht="15" hidden="false" customHeight="false" outlineLevel="0" collapsed="false">
      <c r="A11" s="19" t="s">
        <v>430</v>
      </c>
      <c r="B11" s="20" t="s">
        <v>431</v>
      </c>
      <c r="C11" s="27" t="s">
        <v>432</v>
      </c>
      <c r="D11" s="19"/>
      <c r="E11" s="28" t="n">
        <f aca="false">50.94/1.8</f>
        <v>28.3</v>
      </c>
      <c r="F11" s="19" t="s">
        <v>82</v>
      </c>
      <c r="G11" s="20" t="s">
        <v>429</v>
      </c>
      <c r="H11" s="30" t="s">
        <v>56</v>
      </c>
    </row>
    <row r="12" customFormat="false" ht="15" hidden="false" customHeight="false" outlineLevel="0" collapsed="false">
      <c r="A12" s="19" t="s">
        <v>433</v>
      </c>
      <c r="B12" s="20" t="s">
        <v>434</v>
      </c>
      <c r="C12" s="27" t="s">
        <v>435</v>
      </c>
      <c r="D12" s="19"/>
      <c r="E12" s="28" t="n">
        <f aca="false">27.75+44.15</f>
        <v>71.9</v>
      </c>
      <c r="F12" s="19" t="s">
        <v>82</v>
      </c>
      <c r="G12" s="20" t="s">
        <v>436</v>
      </c>
      <c r="H12" s="29" t="s">
        <v>144</v>
      </c>
    </row>
    <row r="13" customFormat="false" ht="15" hidden="false" customHeight="false" outlineLevel="0" collapsed="false">
      <c r="A13" s="19" t="s">
        <v>437</v>
      </c>
      <c r="B13" s="20" t="s">
        <v>438</v>
      </c>
      <c r="C13" s="27" t="s">
        <v>439</v>
      </c>
      <c r="D13" s="19"/>
      <c r="E13" s="28" t="n">
        <f aca="false">10.15+7.05</f>
        <v>17.2</v>
      </c>
      <c r="F13" s="19" t="s">
        <v>82</v>
      </c>
      <c r="G13" s="20" t="s">
        <v>436</v>
      </c>
      <c r="H13" s="29" t="s">
        <v>144</v>
      </c>
    </row>
    <row r="14" customFormat="false" ht="15" hidden="false" customHeight="false" outlineLevel="0" collapsed="false">
      <c r="A14" s="19" t="s">
        <v>440</v>
      </c>
      <c r="B14" s="20" t="s">
        <v>441</v>
      </c>
      <c r="C14" s="27" t="s">
        <v>442</v>
      </c>
      <c r="D14" s="19"/>
      <c r="E14" s="28" t="n">
        <f aca="false">19.05</f>
        <v>19.05</v>
      </c>
      <c r="F14" s="19" t="s">
        <v>82</v>
      </c>
      <c r="G14" s="20" t="s">
        <v>443</v>
      </c>
      <c r="H14" s="29" t="s">
        <v>144</v>
      </c>
    </row>
    <row r="15" customFormat="false" ht="15" hidden="false" customHeight="false" outlineLevel="0" collapsed="false">
      <c r="A15" s="19" t="s">
        <v>444</v>
      </c>
      <c r="B15" s="20" t="s">
        <v>445</v>
      </c>
      <c r="C15" s="27" t="s">
        <v>446</v>
      </c>
      <c r="D15" s="19"/>
      <c r="E15" s="28" t="n">
        <f aca="false">113.75</f>
        <v>113.75</v>
      </c>
      <c r="F15" s="19" t="s">
        <v>82</v>
      </c>
      <c r="G15" s="20" t="s">
        <v>447</v>
      </c>
      <c r="H15" s="29" t="s">
        <v>144</v>
      </c>
    </row>
    <row r="16" customFormat="false" ht="15" hidden="false" customHeight="false" outlineLevel="0" collapsed="false">
      <c r="A16" s="19" t="s">
        <v>448</v>
      </c>
      <c r="B16" s="20" t="s">
        <v>449</v>
      </c>
      <c r="C16" s="27" t="s">
        <v>450</v>
      </c>
      <c r="D16" s="19"/>
      <c r="E16" s="28" t="n">
        <f aca="false">36.95</f>
        <v>36.95</v>
      </c>
      <c r="F16" s="19" t="s">
        <v>82</v>
      </c>
      <c r="G16" s="20" t="s">
        <v>447</v>
      </c>
      <c r="H16" s="29" t="s">
        <v>144</v>
      </c>
    </row>
    <row r="17" customFormat="false" ht="15" hidden="false" customHeight="false" outlineLevel="0" collapsed="false">
      <c r="A17" s="19" t="s">
        <v>451</v>
      </c>
      <c r="B17" s="20" t="s">
        <v>452</v>
      </c>
      <c r="C17" s="27" t="s">
        <v>453</v>
      </c>
      <c r="D17" s="19"/>
      <c r="E17" s="28" t="n">
        <f aca="false">77.55+10.8+3.45</f>
        <v>91.8</v>
      </c>
      <c r="F17" s="19" t="s">
        <v>82</v>
      </c>
      <c r="G17" s="20" t="s">
        <v>425</v>
      </c>
      <c r="H17" s="29" t="s">
        <v>144</v>
      </c>
    </row>
    <row r="18" customFormat="false" ht="15" hidden="false" customHeight="false" outlineLevel="0" collapsed="false">
      <c r="A18" s="19" t="s">
        <v>454</v>
      </c>
      <c r="B18" s="20" t="s">
        <v>455</v>
      </c>
      <c r="C18" s="27" t="s">
        <v>456</v>
      </c>
      <c r="D18" s="19"/>
      <c r="E18" s="28" t="n">
        <f aca="false">29+50.95</f>
        <v>79.95</v>
      </c>
      <c r="F18" s="19" t="s">
        <v>119</v>
      </c>
      <c r="G18" s="20" t="s">
        <v>457</v>
      </c>
      <c r="H18" s="29" t="s">
        <v>144</v>
      </c>
    </row>
    <row r="19" customFormat="false" ht="15" hidden="false" customHeight="false" outlineLevel="0" collapsed="false">
      <c r="A19" s="19" t="s">
        <v>458</v>
      </c>
      <c r="B19" s="20" t="s">
        <v>459</v>
      </c>
      <c r="C19" s="27" t="s">
        <v>460</v>
      </c>
      <c r="D19" s="19"/>
      <c r="E19" s="28" t="n">
        <f aca="false">7.05+13.8</f>
        <v>20.85</v>
      </c>
      <c r="F19" s="19" t="s">
        <v>119</v>
      </c>
      <c r="G19" s="20" t="s">
        <v>457</v>
      </c>
      <c r="H19" s="29" t="s">
        <v>144</v>
      </c>
    </row>
    <row r="20" customFormat="false" ht="15" hidden="false" customHeight="false" outlineLevel="0" collapsed="false">
      <c r="A20" s="19" t="s">
        <v>461</v>
      </c>
      <c r="B20" s="20" t="s">
        <v>462</v>
      </c>
      <c r="C20" s="27" t="s">
        <v>463</v>
      </c>
      <c r="D20" s="19"/>
      <c r="E20" s="28" t="n">
        <f aca="false">70.66+75.73</f>
        <v>146.39</v>
      </c>
      <c r="F20" s="19" t="s">
        <v>82</v>
      </c>
      <c r="G20" s="20" t="s">
        <v>464</v>
      </c>
      <c r="H20" s="29" t="s">
        <v>144</v>
      </c>
    </row>
    <row r="21" customFormat="false" ht="15" hidden="false" customHeight="false" outlineLevel="0" collapsed="false">
      <c r="A21" s="19" t="s">
        <v>465</v>
      </c>
      <c r="B21" s="20" t="s">
        <v>466</v>
      </c>
      <c r="C21" s="27" t="s">
        <v>467</v>
      </c>
      <c r="D21" s="19"/>
      <c r="E21" s="28" t="n">
        <f aca="false">50.77+44.12+2.85</f>
        <v>97.74</v>
      </c>
      <c r="F21" s="19" t="s">
        <v>82</v>
      </c>
      <c r="G21" s="20" t="s">
        <v>468</v>
      </c>
      <c r="H21" s="29" t="s">
        <v>144</v>
      </c>
    </row>
    <row r="22" customFormat="false" ht="15" hidden="false" customHeight="false" outlineLevel="0" collapsed="false">
      <c r="A22" s="19" t="s">
        <v>469</v>
      </c>
      <c r="B22" s="20" t="s">
        <v>470</v>
      </c>
      <c r="C22" s="27" t="s">
        <v>471</v>
      </c>
      <c r="D22" s="19"/>
      <c r="E22" s="28" t="n">
        <f aca="false">1.33+2.5+3.48+4.16+10.69+10.92+37.81+10.18</f>
        <v>81.07</v>
      </c>
      <c r="F22" s="19" t="s">
        <v>82</v>
      </c>
      <c r="G22" s="20" t="s">
        <v>472</v>
      </c>
      <c r="H22" s="29" t="s">
        <v>144</v>
      </c>
    </row>
    <row r="23" customFormat="false" ht="15" hidden="false" customHeight="false" outlineLevel="0" collapsed="false">
      <c r="A23" s="19" t="s">
        <v>473</v>
      </c>
      <c r="B23" s="20" t="s">
        <v>474</v>
      </c>
      <c r="C23" s="27" t="s">
        <v>475</v>
      </c>
      <c r="D23" s="19"/>
      <c r="E23" s="28" t="n">
        <f aca="false">4+18.86+13.94+4.69+30.35+11.97+4.25+12.18</f>
        <v>100.24</v>
      </c>
      <c r="F23" s="19" t="s">
        <v>82</v>
      </c>
      <c r="G23" s="20" t="s">
        <v>472</v>
      </c>
      <c r="H23" s="29" t="s">
        <v>144</v>
      </c>
    </row>
    <row r="24" customFormat="false" ht="32.8" hidden="false" customHeight="false" outlineLevel="0" collapsed="false">
      <c r="A24" s="19" t="s">
        <v>476</v>
      </c>
      <c r="B24" s="20" t="s">
        <v>477</v>
      </c>
      <c r="C24" s="20" t="s">
        <v>478</v>
      </c>
      <c r="D24" s="19"/>
      <c r="E24" s="28" t="n">
        <f aca="false">3*1.35*1.35*0.4+1.85*0.95*0.4+2.6*1.3*0.6+2.1*1*0.4+2*1.4*0.8*0.4+2*1.35*1.35*0.4+1.65*1.65*0.4+2*0.8*1.4*0.4+0.9*0.9*0.4+2.3*0.9*0.4+3.4*1.35*0.4</f>
        <v>13.085</v>
      </c>
      <c r="F24" s="19" t="s">
        <v>54</v>
      </c>
      <c r="G24" s="20" t="s">
        <v>479</v>
      </c>
      <c r="H24" s="30" t="s">
        <v>56</v>
      </c>
    </row>
    <row r="25" customFormat="false" ht="22.35" hidden="false" customHeight="false" outlineLevel="0" collapsed="false">
      <c r="A25" s="19" t="s">
        <v>480</v>
      </c>
      <c r="B25" s="20" t="s">
        <v>481</v>
      </c>
      <c r="C25" s="20" t="s">
        <v>482</v>
      </c>
      <c r="D25" s="19"/>
      <c r="E25" s="28" t="n">
        <f aca="false">4*1*1*0.4</f>
        <v>1.6</v>
      </c>
      <c r="F25" s="19" t="s">
        <v>54</v>
      </c>
      <c r="G25" s="20" t="s">
        <v>483</v>
      </c>
      <c r="H25" s="31" t="s">
        <v>39</v>
      </c>
    </row>
    <row r="26" customFormat="false" ht="22.35" hidden="false" customHeight="false" outlineLevel="0" collapsed="false">
      <c r="A26" s="19" t="s">
        <v>484</v>
      </c>
      <c r="B26" s="20" t="s">
        <v>485</v>
      </c>
      <c r="C26" s="20" t="s">
        <v>486</v>
      </c>
      <c r="D26" s="19"/>
      <c r="E26" s="28" t="n">
        <f aca="false">75*0.3*0.4</f>
        <v>9</v>
      </c>
      <c r="F26" s="19" t="s">
        <v>54</v>
      </c>
      <c r="G26" s="20" t="s">
        <v>487</v>
      </c>
      <c r="H26" s="31" t="s">
        <v>39</v>
      </c>
    </row>
    <row r="27" customFormat="false" ht="15" hidden="false" customHeight="false" outlineLevel="0" collapsed="false">
      <c r="A27" s="19" t="s">
        <v>488</v>
      </c>
      <c r="B27" s="20" t="s">
        <v>489</v>
      </c>
      <c r="C27" s="20" t="s">
        <v>490</v>
      </c>
      <c r="D27" s="19"/>
      <c r="E27" s="28" t="n">
        <f aca="false">22*0.25*0.4*6.4</f>
        <v>14.08</v>
      </c>
      <c r="F27" s="19" t="s">
        <v>54</v>
      </c>
      <c r="G27" s="20" t="s">
        <v>491</v>
      </c>
      <c r="H27" s="31" t="s">
        <v>39</v>
      </c>
    </row>
    <row r="28" customFormat="false" ht="22.35" hidden="false" customHeight="false" outlineLevel="0" collapsed="false">
      <c r="A28" s="19" t="s">
        <v>492</v>
      </c>
      <c r="B28" s="20" t="s">
        <v>493</v>
      </c>
      <c r="C28" s="20" t="s">
        <v>494</v>
      </c>
      <c r="D28" s="19"/>
      <c r="E28" s="28" t="n">
        <f aca="false">180*0.25*0.4</f>
        <v>18</v>
      </c>
      <c r="F28" s="19" t="s">
        <v>54</v>
      </c>
      <c r="G28" s="20" t="s">
        <v>495</v>
      </c>
      <c r="H28" s="31" t="s">
        <v>39</v>
      </c>
    </row>
    <row r="29" customFormat="false" ht="15" hidden="false" customHeight="false" outlineLevel="0" collapsed="false">
      <c r="A29" s="19" t="s">
        <v>496</v>
      </c>
      <c r="B29" s="20" t="s">
        <v>497</v>
      </c>
      <c r="C29" s="20" t="s">
        <v>498</v>
      </c>
      <c r="D29" s="19"/>
      <c r="E29" s="28" t="n">
        <f aca="false">Cálculos!$E$5+Cálculos!$E$15+Cálculos!$E$14</f>
        <v>258.3</v>
      </c>
      <c r="F29" s="19" t="s">
        <v>82</v>
      </c>
      <c r="G29" s="20" t="s">
        <v>499</v>
      </c>
      <c r="H29" s="30" t="s">
        <v>56</v>
      </c>
    </row>
    <row r="30" customFormat="false" ht="15" hidden="false" customHeight="false" outlineLevel="0" collapsed="false">
      <c r="A30" s="19" t="s">
        <v>500</v>
      </c>
      <c r="B30" s="20" t="s">
        <v>501</v>
      </c>
      <c r="C30" s="20" t="s">
        <v>502</v>
      </c>
      <c r="D30" s="19"/>
      <c r="E30" s="28" t="n">
        <f aca="false">15*0.25</f>
        <v>3.75</v>
      </c>
      <c r="F30" s="19" t="s">
        <v>54</v>
      </c>
      <c r="G30" s="20" t="s">
        <v>503</v>
      </c>
      <c r="H30" s="31" t="s">
        <v>39</v>
      </c>
    </row>
    <row r="31" customFormat="false" ht="15" hidden="false" customHeight="false" outlineLevel="0" collapsed="false">
      <c r="A31" s="19" t="s">
        <v>504</v>
      </c>
      <c r="B31" s="20" t="s">
        <v>505</v>
      </c>
      <c r="C31" s="20" t="s">
        <v>66</v>
      </c>
      <c r="D31" s="19"/>
      <c r="E31" s="28" t="n">
        <f aca="false">3</f>
        <v>3</v>
      </c>
      <c r="F31" s="19" t="s">
        <v>54</v>
      </c>
      <c r="G31" s="20" t="s">
        <v>506</v>
      </c>
      <c r="H31" s="31" t="s">
        <v>39</v>
      </c>
    </row>
    <row r="32" customFormat="false" ht="15" hidden="false" customHeight="false" outlineLevel="0" collapsed="false">
      <c r="A32" s="19" t="s">
        <v>507</v>
      </c>
      <c r="B32" s="20" t="s">
        <v>508</v>
      </c>
      <c r="C32" s="20" t="s">
        <v>509</v>
      </c>
      <c r="D32" s="19"/>
      <c r="E32" s="28" t="n">
        <f aca="false">Cálculos!$E$22+10</f>
        <v>91.07</v>
      </c>
      <c r="F32" s="19" t="s">
        <v>82</v>
      </c>
      <c r="G32" s="20" t="s">
        <v>510</v>
      </c>
      <c r="H32" s="30" t="s">
        <v>56</v>
      </c>
    </row>
    <row r="33" customFormat="false" ht="15" hidden="false" customHeight="false" outlineLevel="0" collapsed="false">
      <c r="A33" s="19" t="s">
        <v>511</v>
      </c>
      <c r="B33" s="20" t="s">
        <v>512</v>
      </c>
      <c r="C33" s="20" t="s">
        <v>513</v>
      </c>
      <c r="D33" s="19"/>
      <c r="E33" s="28" t="n">
        <f aca="false">(Cálculos!$E$24+Cálculos!$E$25)/0.4*0.1+75*0.3*0.1</f>
        <v>5.92125</v>
      </c>
      <c r="F33" s="19" t="s">
        <v>54</v>
      </c>
      <c r="G33" s="20" t="s">
        <v>514</v>
      </c>
      <c r="H33" s="30" t="s">
        <v>56</v>
      </c>
    </row>
    <row r="34" customFormat="false" ht="15" hidden="false" customHeight="false" outlineLevel="0" collapsed="false">
      <c r="A34" s="19" t="s">
        <v>515</v>
      </c>
      <c r="B34" s="20" t="s">
        <v>516</v>
      </c>
      <c r="C34" s="20" t="s">
        <v>517</v>
      </c>
      <c r="D34" s="19"/>
      <c r="E34" s="28" t="n">
        <f aca="false">(Cálculos!$E$24+Cálculos!$E$25+Cálculos!$E$26)*60</f>
        <v>1421.1</v>
      </c>
      <c r="F34" s="19" t="s">
        <v>95</v>
      </c>
      <c r="G34" s="20" t="s">
        <v>518</v>
      </c>
      <c r="H34" s="31" t="s">
        <v>39</v>
      </c>
    </row>
    <row r="35" customFormat="false" ht="15" hidden="false" customHeight="false" outlineLevel="0" collapsed="false">
      <c r="A35" s="19" t="s">
        <v>519</v>
      </c>
      <c r="B35" s="20" t="s">
        <v>520</v>
      </c>
      <c r="C35" s="20" t="s">
        <v>521</v>
      </c>
      <c r="D35" s="19"/>
      <c r="E35" s="28" t="n">
        <f aca="false">(Cálculos!$E$27+Cálculos!$E$28)*130</f>
        <v>4170.4</v>
      </c>
      <c r="F35" s="19" t="s">
        <v>95</v>
      </c>
      <c r="G35" s="20" t="s">
        <v>518</v>
      </c>
      <c r="H35" s="31" t="s">
        <v>39</v>
      </c>
    </row>
    <row r="36" customFormat="false" ht="15" hidden="false" customHeight="false" outlineLevel="0" collapsed="false">
      <c r="A36" s="19" t="s">
        <v>522</v>
      </c>
      <c r="B36" s="20" t="s">
        <v>523</v>
      </c>
      <c r="C36" s="20" t="s">
        <v>524</v>
      </c>
      <c r="D36" s="19"/>
      <c r="E36" s="28" t="n">
        <f aca="false">(Cálculos!$E$30+Cálculos!$E$31)*90</f>
        <v>607.5</v>
      </c>
      <c r="F36" s="19" t="s">
        <v>95</v>
      </c>
      <c r="G36" s="20" t="s">
        <v>518</v>
      </c>
      <c r="H36" s="31" t="s">
        <v>39</v>
      </c>
    </row>
    <row r="37" customFormat="false" ht="15" hidden="false" customHeight="false" outlineLevel="0" collapsed="false">
      <c r="A37" s="19" t="s">
        <v>525</v>
      </c>
      <c r="B37" s="20" t="s">
        <v>526</v>
      </c>
      <c r="C37" s="20" t="s">
        <v>527</v>
      </c>
      <c r="D37" s="19"/>
      <c r="E37" s="28" t="n">
        <f aca="false">22*1.3*6.4</f>
        <v>183.04</v>
      </c>
      <c r="F37" s="19" t="s">
        <v>82</v>
      </c>
      <c r="G37" s="20" t="s">
        <v>528</v>
      </c>
      <c r="H37" s="31" t="s">
        <v>39</v>
      </c>
    </row>
    <row r="38" customFormat="false" ht="15" hidden="false" customHeight="false" outlineLevel="0" collapsed="false">
      <c r="A38" s="19" t="s">
        <v>529</v>
      </c>
      <c r="B38" s="20" t="s">
        <v>530</v>
      </c>
      <c r="C38" s="20" t="s">
        <v>531</v>
      </c>
      <c r="D38" s="19"/>
      <c r="E38" s="28" t="n">
        <f aca="false">(2*0.4+0.25)*180</f>
        <v>189</v>
      </c>
      <c r="F38" s="19" t="s">
        <v>82</v>
      </c>
      <c r="G38" s="20" t="s">
        <v>532</v>
      </c>
      <c r="H38" s="31" t="s">
        <v>39</v>
      </c>
    </row>
    <row r="39" customFormat="false" ht="15" hidden="false" customHeight="false" outlineLevel="0" collapsed="false">
      <c r="A39" s="19" t="s">
        <v>533</v>
      </c>
      <c r="B39" s="20" t="s">
        <v>534</v>
      </c>
      <c r="C39" s="20" t="s">
        <v>535</v>
      </c>
      <c r="D39" s="19"/>
      <c r="E39" s="28" t="n">
        <f aca="false">(Cálculos!$E$24+Cálculos!$E$25+Cálculos!$E$26)*1.3</f>
        <v>30.7905</v>
      </c>
      <c r="F39" s="19" t="s">
        <v>54</v>
      </c>
      <c r="G39" s="20" t="s">
        <v>536</v>
      </c>
      <c r="H39" s="30" t="s">
        <v>56</v>
      </c>
    </row>
    <row r="40" customFormat="false" ht="15" hidden="false" customHeight="false" outlineLevel="0" collapsed="false">
      <c r="A40" s="19" t="s">
        <v>537</v>
      </c>
      <c r="B40" s="20" t="s">
        <v>538</v>
      </c>
      <c r="C40" s="20" t="s">
        <v>539</v>
      </c>
      <c r="D40" s="19"/>
      <c r="E40" s="28" t="n">
        <f aca="false">Cálculos!$E$32*0.15</f>
        <v>13.6605</v>
      </c>
      <c r="F40" s="19" t="s">
        <v>54</v>
      </c>
      <c r="G40" s="20" t="s">
        <v>540</v>
      </c>
      <c r="H40" s="30" t="s">
        <v>56</v>
      </c>
    </row>
    <row r="41" customFormat="false" ht="15" hidden="false" customHeight="false" outlineLevel="0" collapsed="false">
      <c r="A41" s="19" t="s">
        <v>541</v>
      </c>
      <c r="B41" s="20" t="s">
        <v>542</v>
      </c>
      <c r="C41" s="20" t="s">
        <v>543</v>
      </c>
      <c r="D41" s="19"/>
      <c r="E41" s="28" t="n">
        <f aca="false">Cálculos!$E$7+Cálculos!$E$8+Cálculos!$E$13+Cálculos!$E$12</f>
        <v>160.15</v>
      </c>
      <c r="F41" s="19" t="s">
        <v>82</v>
      </c>
      <c r="G41" s="20" t="s">
        <v>544</v>
      </c>
      <c r="H41" s="30" t="s">
        <v>56</v>
      </c>
    </row>
    <row r="42" customFormat="false" ht="22.35" hidden="false" customHeight="false" outlineLevel="0" collapsed="false">
      <c r="A42" s="19" t="s">
        <v>545</v>
      </c>
      <c r="B42" s="20" t="s">
        <v>546</v>
      </c>
      <c r="C42" s="20" t="s">
        <v>547</v>
      </c>
      <c r="D42" s="19"/>
      <c r="E42" s="28" t="n">
        <f aca="false">0.9*(Cálculos!$E$4+Cálculos!$E$5)</f>
        <v>182.7</v>
      </c>
      <c r="F42" s="19" t="s">
        <v>82</v>
      </c>
      <c r="G42" s="20" t="s">
        <v>548</v>
      </c>
      <c r="H42" s="31" t="s">
        <v>39</v>
      </c>
    </row>
    <row r="43" customFormat="false" ht="22.35" hidden="false" customHeight="false" outlineLevel="0" collapsed="false">
      <c r="A43" s="19" t="s">
        <v>549</v>
      </c>
      <c r="B43" s="20" t="s">
        <v>550</v>
      </c>
      <c r="C43" s="20" t="s">
        <v>551</v>
      </c>
      <c r="D43" s="19"/>
      <c r="E43" s="28" t="n">
        <f aca="false">Cálculos!$E$7+Cálculos!$E$8+Cálculos!$E$9+Cálculos!$E$13+Cálculos!$E$12</f>
        <v>166.3</v>
      </c>
      <c r="F43" s="19" t="s">
        <v>82</v>
      </c>
      <c r="G43" s="20" t="s">
        <v>552</v>
      </c>
      <c r="H43" s="30" t="s">
        <v>56</v>
      </c>
    </row>
    <row r="44" customFormat="false" ht="15" hidden="false" customHeight="false" outlineLevel="0" collapsed="false">
      <c r="A44" s="19" t="s">
        <v>553</v>
      </c>
      <c r="B44" s="20" t="s">
        <v>554</v>
      </c>
      <c r="C44" s="20" t="s">
        <v>555</v>
      </c>
      <c r="D44" s="19"/>
      <c r="E44" s="28" t="n">
        <f aca="false">Cálculos!$E$7+Cálculos!$E$8+Cálculos!$E$9+Cálculos!$E$18*0.2</f>
        <v>93.19</v>
      </c>
      <c r="F44" s="19" t="s">
        <v>82</v>
      </c>
      <c r="G44" s="20" t="s">
        <v>159</v>
      </c>
      <c r="H44" s="30" t="s">
        <v>56</v>
      </c>
    </row>
    <row r="45" customFormat="false" ht="22.35" hidden="false" customHeight="false" outlineLevel="0" collapsed="false">
      <c r="A45" s="19" t="s">
        <v>556</v>
      </c>
      <c r="B45" s="20" t="s">
        <v>557</v>
      </c>
      <c r="C45" s="20" t="s">
        <v>558</v>
      </c>
      <c r="D45" s="19"/>
      <c r="E45" s="28" t="n">
        <f aca="false">(4*SQRT(2.5)+4*SQRT(4.16)+4*SQRT(4)+4*SQRT(4.69))*2.4-4*1.6</f>
        <v>68.3493192156039</v>
      </c>
      <c r="F45" s="19" t="s">
        <v>82</v>
      </c>
      <c r="G45" s="20" t="s">
        <v>559</v>
      </c>
      <c r="H45" s="30" t="s">
        <v>56</v>
      </c>
    </row>
    <row r="46" customFormat="false" ht="15" hidden="false" customHeight="false" outlineLevel="0" collapsed="false">
      <c r="A46" s="19" t="s">
        <v>560</v>
      </c>
      <c r="B46" s="20" t="s">
        <v>561</v>
      </c>
      <c r="C46" s="20" t="s">
        <v>272</v>
      </c>
      <c r="D46" s="19"/>
      <c r="E46" s="28" t="n">
        <f aca="false">12</f>
        <v>12</v>
      </c>
      <c r="F46" s="19" t="s">
        <v>82</v>
      </c>
      <c r="G46" s="20" t="s">
        <v>562</v>
      </c>
      <c r="H46" s="31" t="s">
        <v>39</v>
      </c>
    </row>
    <row r="47" customFormat="false" ht="22.35" hidden="false" customHeight="false" outlineLevel="0" collapsed="false">
      <c r="A47" s="19" t="s">
        <v>563</v>
      </c>
      <c r="B47" s="20" t="s">
        <v>564</v>
      </c>
      <c r="C47" s="20" t="s">
        <v>565</v>
      </c>
      <c r="D47" s="19"/>
      <c r="E47" s="28" t="n">
        <f aca="false">2*Cálculos!$E$42+Cálculos!$E$43-Cálculos!$E$45-Cálculos!$E$46</f>
        <v>451.350680784396</v>
      </c>
      <c r="F47" s="19" t="s">
        <v>82</v>
      </c>
      <c r="G47" s="20" t="s">
        <v>536</v>
      </c>
      <c r="H47" s="31" t="s">
        <v>39</v>
      </c>
    </row>
    <row r="48" customFormat="false" ht="15" hidden="false" customHeight="false" outlineLevel="0" collapsed="false">
      <c r="A48" s="19" t="s">
        <v>566</v>
      </c>
      <c r="B48" s="20" t="s">
        <v>567</v>
      </c>
      <c r="C48" s="20" t="s">
        <v>568</v>
      </c>
      <c r="D48" s="19"/>
      <c r="E48" s="28" t="n">
        <f aca="false">Cálculos!$E$22+Cálculos!$E$23</f>
        <v>181.31</v>
      </c>
      <c r="F48" s="19" t="s">
        <v>82</v>
      </c>
      <c r="G48" s="20" t="s">
        <v>143</v>
      </c>
      <c r="H48" s="29" t="s">
        <v>144</v>
      </c>
    </row>
    <row r="49" customFormat="false" ht="15" hidden="false" customHeight="false" outlineLevel="0" collapsed="false">
      <c r="A49" s="19" t="s">
        <v>569</v>
      </c>
      <c r="B49" s="20" t="s">
        <v>570</v>
      </c>
      <c r="C49" s="20" t="s">
        <v>568</v>
      </c>
      <c r="D49" s="19"/>
      <c r="E49" s="28" t="n">
        <f aca="false">Cálculos!$E$22+Cálculos!$E$23</f>
        <v>181.31</v>
      </c>
      <c r="F49" s="19" t="s">
        <v>82</v>
      </c>
      <c r="G49" s="20" t="s">
        <v>143</v>
      </c>
      <c r="H49" s="30" t="s">
        <v>56</v>
      </c>
    </row>
    <row r="50" customFormat="false" ht="15" hidden="false" customHeight="false" outlineLevel="0" collapsed="false">
      <c r="A50" s="19" t="s">
        <v>571</v>
      </c>
      <c r="B50" s="20" t="s">
        <v>572</v>
      </c>
      <c r="C50" s="20" t="s">
        <v>469</v>
      </c>
      <c r="D50" s="19"/>
      <c r="E50" s="28" t="n">
        <f aca="false">Cálculos!$E$22</f>
        <v>81.07</v>
      </c>
      <c r="F50" s="19" t="s">
        <v>82</v>
      </c>
      <c r="G50" s="20" t="s">
        <v>573</v>
      </c>
      <c r="H50" s="30" t="s">
        <v>56</v>
      </c>
    </row>
    <row r="51" customFormat="false" ht="32.8" hidden="false" customHeight="false" outlineLevel="0" collapsed="false">
      <c r="A51" s="19" t="s">
        <v>574</v>
      </c>
      <c r="B51" s="20" t="s">
        <v>575</v>
      </c>
      <c r="C51" s="20" t="s">
        <v>576</v>
      </c>
      <c r="D51" s="19"/>
      <c r="E51" s="28" t="n">
        <f aca="false">4*SQRT(10.69)+4*SQRT(10.92)+4*SQRT(37.81)+16+4*SQRT(13.94)+4*SQRT(11.97)+4*SQRT(12.18)+4*SQRT(30.35)+8</f>
        <v>139.662205318649</v>
      </c>
      <c r="F51" s="19" t="s">
        <v>119</v>
      </c>
      <c r="G51" s="20" t="s">
        <v>577</v>
      </c>
      <c r="H51" s="31" t="s">
        <v>39</v>
      </c>
    </row>
    <row r="52" customFormat="false" ht="15" hidden="false" customHeight="false" outlineLevel="0" collapsed="false">
      <c r="A52" s="19" t="s">
        <v>578</v>
      </c>
      <c r="B52" s="20" t="s">
        <v>579</v>
      </c>
      <c r="C52" s="20" t="s">
        <v>580</v>
      </c>
      <c r="D52" s="19"/>
      <c r="E52" s="28" t="n">
        <f aca="false">Cálculos!$E$22+Cálculos!$E$23-Cálculos!$E$53</f>
        <v>147.1</v>
      </c>
      <c r="F52" s="19" t="s">
        <v>82</v>
      </c>
      <c r="G52" s="20" t="s">
        <v>581</v>
      </c>
      <c r="H52" s="30" t="s">
        <v>56</v>
      </c>
    </row>
    <row r="53" customFormat="false" ht="15" hidden="false" customHeight="false" outlineLevel="0" collapsed="false">
      <c r="A53" s="19" t="s">
        <v>582</v>
      </c>
      <c r="B53" s="20" t="s">
        <v>583</v>
      </c>
      <c r="C53" s="20" t="s">
        <v>584</v>
      </c>
      <c r="D53" s="19"/>
      <c r="E53" s="28" t="n">
        <f aca="false">2.5+4.16+4+4.69+18.86</f>
        <v>34.21</v>
      </c>
      <c r="F53" s="19" t="s">
        <v>82</v>
      </c>
      <c r="G53" s="20" t="s">
        <v>143</v>
      </c>
      <c r="H53" s="29" t="s">
        <v>144</v>
      </c>
    </row>
    <row r="54" customFormat="false" ht="22.35" hidden="false" customHeight="false" outlineLevel="0" collapsed="false">
      <c r="A54" s="19" t="s">
        <v>585</v>
      </c>
      <c r="B54" s="20" t="s">
        <v>586</v>
      </c>
      <c r="C54" s="20" t="s">
        <v>587</v>
      </c>
      <c r="D54" s="19"/>
      <c r="E54" s="28" t="n">
        <f aca="false">Cálculos!$E$22+Cálculos!$E$15</f>
        <v>194.82</v>
      </c>
      <c r="F54" s="19" t="s">
        <v>82</v>
      </c>
      <c r="G54" s="20" t="s">
        <v>588</v>
      </c>
      <c r="H54" s="30" t="s">
        <v>56</v>
      </c>
    </row>
    <row r="55" customFormat="false" ht="15" hidden="false" customHeight="false" outlineLevel="0" collapsed="false">
      <c r="A55" s="19" t="s">
        <v>589</v>
      </c>
      <c r="B55" s="20" t="s">
        <v>590</v>
      </c>
      <c r="C55" s="20" t="s">
        <v>591</v>
      </c>
      <c r="D55" s="19"/>
      <c r="E55" s="28" t="n">
        <f aca="false">Cálculos!$E$16+Cálculos!$E$17</f>
        <v>128.75</v>
      </c>
      <c r="F55" s="19" t="s">
        <v>82</v>
      </c>
      <c r="G55" s="20" t="s">
        <v>159</v>
      </c>
      <c r="H55" s="29" t="s">
        <v>144</v>
      </c>
    </row>
    <row r="56" customFormat="false" ht="22.35" hidden="false" customHeight="false" outlineLevel="0" collapsed="false">
      <c r="A56" s="19" t="s">
        <v>592</v>
      </c>
      <c r="B56" s="20" t="s">
        <v>593</v>
      </c>
      <c r="C56" s="20" t="s">
        <v>594</v>
      </c>
      <c r="D56" s="19"/>
      <c r="E56" s="28" t="n">
        <f aca="false">Cálculos!$E$20*1.1</f>
        <v>161.029</v>
      </c>
      <c r="F56" s="19" t="s">
        <v>82</v>
      </c>
      <c r="G56" s="20" t="s">
        <v>595</v>
      </c>
      <c r="H56" s="31" t="s">
        <v>39</v>
      </c>
    </row>
    <row r="57" customFormat="false" ht="15" hidden="false" customHeight="false" outlineLevel="0" collapsed="false">
      <c r="A57" s="19" t="s">
        <v>596</v>
      </c>
      <c r="B57" s="20" t="s">
        <v>597</v>
      </c>
      <c r="C57" s="20" t="s">
        <v>598</v>
      </c>
      <c r="D57" s="19"/>
      <c r="E57" s="28" t="n">
        <f aca="false">Cálculos!$E$21+Cálculos!$E$14</f>
        <v>116.79</v>
      </c>
      <c r="F57" s="19" t="s">
        <v>82</v>
      </c>
      <c r="G57" s="20" t="s">
        <v>599</v>
      </c>
      <c r="H57" s="30" t="s">
        <v>56</v>
      </c>
    </row>
    <row r="58" customFormat="false" ht="15" hidden="false" customHeight="false" outlineLevel="0" collapsed="false">
      <c r="A58" s="19" t="s">
        <v>600</v>
      </c>
      <c r="B58" s="20" t="s">
        <v>601</v>
      </c>
      <c r="C58" s="20" t="s">
        <v>602</v>
      </c>
      <c r="D58" s="19"/>
      <c r="E58" s="28" t="n">
        <f aca="false">Cálculos!$E$10+Cálculos!$E$11</f>
        <v>45.7</v>
      </c>
      <c r="F58" s="19" t="s">
        <v>82</v>
      </c>
      <c r="G58" s="20" t="s">
        <v>603</v>
      </c>
      <c r="H58" s="30" t="s">
        <v>56</v>
      </c>
    </row>
    <row r="59" customFormat="false" ht="15" hidden="false" customHeight="false" outlineLevel="0" collapsed="false">
      <c r="A59" s="19" t="s">
        <v>604</v>
      </c>
      <c r="B59" s="20" t="s">
        <v>605</v>
      </c>
      <c r="C59" s="20" t="s">
        <v>458</v>
      </c>
      <c r="D59" s="19"/>
      <c r="E59" s="28" t="n">
        <f aca="false">Cálculos!$E$19</f>
        <v>20.85</v>
      </c>
      <c r="F59" s="19" t="s">
        <v>119</v>
      </c>
      <c r="G59" s="20" t="s">
        <v>159</v>
      </c>
      <c r="H59" s="29" t="s">
        <v>144</v>
      </c>
    </row>
    <row r="60" customFormat="false" ht="15" hidden="false" customHeight="false" outlineLevel="0" collapsed="false">
      <c r="A60" s="19" t="s">
        <v>606</v>
      </c>
      <c r="B60" s="20" t="s">
        <v>607</v>
      </c>
      <c r="C60" s="20" t="s">
        <v>50</v>
      </c>
      <c r="D60" s="19"/>
      <c r="E60" s="28" t="n">
        <f aca="false">2</f>
        <v>2</v>
      </c>
      <c r="F60" s="19" t="s">
        <v>187</v>
      </c>
      <c r="G60" s="20" t="s">
        <v>608</v>
      </c>
      <c r="H60" s="29" t="s">
        <v>144</v>
      </c>
    </row>
    <row r="61" customFormat="false" ht="15" hidden="false" customHeight="false" outlineLevel="0" collapsed="false">
      <c r="A61" s="19" t="s">
        <v>609</v>
      </c>
      <c r="B61" s="20" t="s">
        <v>610</v>
      </c>
      <c r="C61" s="20" t="s">
        <v>309</v>
      </c>
      <c r="D61" s="19"/>
      <c r="E61" s="28" t="n">
        <f aca="false">13</f>
        <v>13</v>
      </c>
      <c r="F61" s="19" t="s">
        <v>187</v>
      </c>
      <c r="G61" s="20" t="s">
        <v>611</v>
      </c>
      <c r="H61" s="30" t="s">
        <v>56</v>
      </c>
    </row>
    <row r="62" customFormat="false" ht="15" hidden="false" customHeight="false" outlineLevel="0" collapsed="false">
      <c r="A62" s="19" t="s">
        <v>612</v>
      </c>
      <c r="B62" s="20" t="s">
        <v>613</v>
      </c>
      <c r="C62" s="20" t="s">
        <v>614</v>
      </c>
      <c r="D62" s="19"/>
      <c r="E62" s="28" t="n">
        <f aca="false">Cálculos!$E$18/2.5</f>
        <v>31.98</v>
      </c>
      <c r="F62" s="19" t="s">
        <v>119</v>
      </c>
      <c r="G62" s="20" t="s">
        <v>615</v>
      </c>
      <c r="H62" s="31" t="s">
        <v>39</v>
      </c>
    </row>
    <row r="63" customFormat="false" ht="15" hidden="false" customHeight="false" outlineLevel="0" collapsed="false">
      <c r="A63" s="19" t="s">
        <v>616</v>
      </c>
      <c r="B63" s="20" t="s">
        <v>617</v>
      </c>
      <c r="C63" s="20" t="s">
        <v>618</v>
      </c>
      <c r="D63" s="19"/>
      <c r="E63" s="28" t="n">
        <f aca="false">36.68+37.88</f>
        <v>74.56</v>
      </c>
      <c r="F63" s="19" t="s">
        <v>119</v>
      </c>
      <c r="G63" s="20" t="s">
        <v>619</v>
      </c>
      <c r="H63" s="29" t="s">
        <v>144</v>
      </c>
    </row>
    <row r="64" customFormat="false" ht="15" hidden="false" customHeight="false" outlineLevel="0" collapsed="false">
      <c r="A64" s="19" t="s">
        <v>620</v>
      </c>
      <c r="B64" s="20" t="s">
        <v>621</v>
      </c>
      <c r="C64" s="20" t="s">
        <v>622</v>
      </c>
      <c r="D64" s="19"/>
      <c r="E64" s="28" t="n">
        <f aca="false">22.72+25.91</f>
        <v>48.63</v>
      </c>
      <c r="F64" s="19" t="s">
        <v>119</v>
      </c>
      <c r="G64" s="20" t="s">
        <v>619</v>
      </c>
      <c r="H64" s="29" t="s">
        <v>144</v>
      </c>
    </row>
    <row r="65" customFormat="false" ht="15" hidden="false" customHeight="false" outlineLevel="0" collapsed="false">
      <c r="A65" s="19" t="s">
        <v>623</v>
      </c>
      <c r="B65" s="20" t="s">
        <v>624</v>
      </c>
      <c r="C65" s="20" t="s">
        <v>625</v>
      </c>
      <c r="D65" s="19"/>
      <c r="E65" s="28" t="n">
        <f aca="false">3+8.04+11.07</f>
        <v>22.11</v>
      </c>
      <c r="F65" s="19" t="s">
        <v>119</v>
      </c>
      <c r="G65" s="20" t="s">
        <v>626</v>
      </c>
      <c r="H65" s="29" t="s">
        <v>144</v>
      </c>
    </row>
    <row r="66" customFormat="false" ht="15" hidden="false" customHeight="false" outlineLevel="0" collapsed="false">
      <c r="A66" s="19" t="s">
        <v>627</v>
      </c>
      <c r="B66" s="20" t="s">
        <v>628</v>
      </c>
      <c r="C66" s="20" t="s">
        <v>629</v>
      </c>
      <c r="D66" s="19"/>
      <c r="E66" s="28" t="n">
        <f aca="false">73.1</f>
        <v>73.1</v>
      </c>
      <c r="F66" s="19" t="s">
        <v>119</v>
      </c>
      <c r="G66" s="20" t="s">
        <v>619</v>
      </c>
      <c r="H66" s="29" t="s">
        <v>144</v>
      </c>
    </row>
    <row r="67" customFormat="false" ht="15" hidden="false" customHeight="false" outlineLevel="0" collapsed="false">
      <c r="A67" s="19" t="s">
        <v>630</v>
      </c>
      <c r="B67" s="20" t="s">
        <v>631</v>
      </c>
      <c r="C67" s="20" t="s">
        <v>632</v>
      </c>
      <c r="D67" s="19"/>
      <c r="E67" s="28" t="n">
        <f aca="false">38.61</f>
        <v>38.61</v>
      </c>
      <c r="F67" s="19" t="s">
        <v>119</v>
      </c>
      <c r="G67" s="20" t="s">
        <v>619</v>
      </c>
      <c r="H67" s="29" t="s">
        <v>144</v>
      </c>
    </row>
    <row r="68" customFormat="false" ht="15" hidden="false" customHeight="false" outlineLevel="0" collapsed="false">
      <c r="A68" s="19" t="s">
        <v>633</v>
      </c>
      <c r="B68" s="20" t="s">
        <v>634</v>
      </c>
      <c r="C68" s="20" t="s">
        <v>635</v>
      </c>
      <c r="D68" s="19"/>
      <c r="E68" s="28" t="n">
        <f aca="false">23.3</f>
        <v>23.3</v>
      </c>
      <c r="F68" s="19" t="s">
        <v>119</v>
      </c>
      <c r="G68" s="20" t="s">
        <v>636</v>
      </c>
      <c r="H68" s="29" t="s">
        <v>144</v>
      </c>
    </row>
    <row r="69" customFormat="false" ht="15" hidden="false" customHeight="false" outlineLevel="0" collapsed="false">
      <c r="A69" s="19" t="s">
        <v>637</v>
      </c>
      <c r="B69" s="20" t="s">
        <v>638</v>
      </c>
      <c r="C69" s="20" t="s">
        <v>639</v>
      </c>
      <c r="D69" s="19"/>
      <c r="E69" s="28" t="n">
        <f aca="false">29.32+15</f>
        <v>44.32</v>
      </c>
      <c r="F69" s="19" t="s">
        <v>119</v>
      </c>
      <c r="G69" s="20" t="s">
        <v>640</v>
      </c>
      <c r="H69" s="29" t="s">
        <v>144</v>
      </c>
    </row>
    <row r="70" customFormat="false" ht="15" hidden="false" customHeight="false" outlineLevel="0" collapsed="false">
      <c r="A70" s="19" t="s">
        <v>641</v>
      </c>
      <c r="B70" s="20" t="s">
        <v>642</v>
      </c>
      <c r="C70" s="20" t="s">
        <v>643</v>
      </c>
      <c r="D70" s="19"/>
      <c r="E70" s="28" t="n">
        <f aca="false">23.73+10</f>
        <v>33.73</v>
      </c>
      <c r="F70" s="19" t="s">
        <v>119</v>
      </c>
      <c r="G70" s="20" t="s">
        <v>644</v>
      </c>
      <c r="H70" s="29" t="s">
        <v>144</v>
      </c>
    </row>
    <row r="71" customFormat="false" ht="15" hidden="false" customHeight="false" outlineLevel="0" collapsed="false">
      <c r="A71" s="19" t="s">
        <v>645</v>
      </c>
      <c r="B71" s="20" t="s">
        <v>646</v>
      </c>
      <c r="C71" s="20" t="s">
        <v>647</v>
      </c>
      <c r="D71" s="19"/>
      <c r="E71" s="28" t="n">
        <f aca="false">38.13</f>
        <v>38.13</v>
      </c>
      <c r="F71" s="19" t="s">
        <v>119</v>
      </c>
      <c r="G71" s="20" t="s">
        <v>648</v>
      </c>
      <c r="H71" s="29" t="s">
        <v>144</v>
      </c>
    </row>
    <row r="72" customFormat="false" ht="15" hidden="false" customHeight="false" outlineLevel="0" collapsed="false">
      <c r="A72" s="19" t="s">
        <v>649</v>
      </c>
      <c r="B72" s="20" t="s">
        <v>650</v>
      </c>
      <c r="C72" s="20" t="s">
        <v>651</v>
      </c>
      <c r="D72" s="19"/>
      <c r="E72" s="28" t="n">
        <f aca="false">9.12</f>
        <v>9.12</v>
      </c>
      <c r="F72" s="19" t="s">
        <v>119</v>
      </c>
      <c r="G72" s="20" t="s">
        <v>648</v>
      </c>
      <c r="H72" s="29" t="s">
        <v>144</v>
      </c>
    </row>
    <row r="73" customFormat="false" ht="15" hidden="false" customHeight="false" outlineLevel="0" collapsed="false">
      <c r="A73" s="19" t="s">
        <v>652</v>
      </c>
      <c r="B73" s="20" t="s">
        <v>653</v>
      </c>
      <c r="C73" s="20" t="s">
        <v>654</v>
      </c>
      <c r="D73" s="19"/>
      <c r="E73" s="28" t="n">
        <f aca="false">9.6</f>
        <v>9.6</v>
      </c>
      <c r="F73" s="19" t="s">
        <v>119</v>
      </c>
      <c r="G73" s="20" t="s">
        <v>648</v>
      </c>
      <c r="H73" s="29" t="s">
        <v>144</v>
      </c>
    </row>
    <row r="74" customFormat="false" ht="15" hidden="false" customHeight="false" outlineLevel="0" collapsed="false">
      <c r="A74" s="19" t="s">
        <v>655</v>
      </c>
      <c r="B74" s="20" t="s">
        <v>245</v>
      </c>
      <c r="C74" s="20" t="s">
        <v>656</v>
      </c>
      <c r="D74" s="19"/>
      <c r="E74" s="28" t="n">
        <f aca="false">20.99</f>
        <v>20.99</v>
      </c>
      <c r="F74" s="19" t="s">
        <v>119</v>
      </c>
      <c r="G74" s="20" t="s">
        <v>657</v>
      </c>
      <c r="H74" s="29" t="s">
        <v>144</v>
      </c>
    </row>
    <row r="75" customFormat="false" ht="15" hidden="false" customHeight="false" outlineLevel="0" collapsed="false">
      <c r="A75" s="19" t="s">
        <v>658</v>
      </c>
      <c r="B75" s="20" t="s">
        <v>659</v>
      </c>
      <c r="C75" s="20" t="s">
        <v>660</v>
      </c>
      <c r="D75" s="19"/>
      <c r="E75" s="28" t="n">
        <f aca="false">21.86+0.48</f>
        <v>22.34</v>
      </c>
      <c r="F75" s="19" t="s">
        <v>119</v>
      </c>
      <c r="G75" s="20" t="s">
        <v>657</v>
      </c>
      <c r="H75" s="29" t="s">
        <v>144</v>
      </c>
    </row>
    <row r="76" customFormat="false" ht="15" hidden="false" customHeight="false" outlineLevel="0" collapsed="false">
      <c r="A76" s="19" t="s">
        <v>661</v>
      </c>
      <c r="B76" s="20" t="s">
        <v>250</v>
      </c>
      <c r="C76" s="20" t="s">
        <v>662</v>
      </c>
      <c r="D76" s="19"/>
      <c r="E76" s="28" t="n">
        <f aca="false">1.97+0.75</f>
        <v>2.72</v>
      </c>
      <c r="F76" s="19" t="s">
        <v>119</v>
      </c>
      <c r="G76" s="20" t="s">
        <v>657</v>
      </c>
      <c r="H76" s="29" t="s">
        <v>144</v>
      </c>
    </row>
    <row r="77" customFormat="false" ht="15" hidden="false" customHeight="false" outlineLevel="0" collapsed="false">
      <c r="A77" s="19" t="s">
        <v>663</v>
      </c>
      <c r="B77" s="20" t="s">
        <v>664</v>
      </c>
      <c r="C77" s="20" t="s">
        <v>665</v>
      </c>
      <c r="D77" s="19"/>
      <c r="E77" s="28" t="n">
        <f aca="false">20.98</f>
        <v>20.98</v>
      </c>
      <c r="F77" s="19" t="s">
        <v>119</v>
      </c>
      <c r="G77" s="20" t="s">
        <v>657</v>
      </c>
      <c r="H77" s="29" t="s">
        <v>144</v>
      </c>
    </row>
    <row r="78" customFormat="false" ht="15" hidden="false" customHeight="false" outlineLevel="0" collapsed="false">
      <c r="A78" s="19" t="s">
        <v>666</v>
      </c>
      <c r="B78" s="20" t="s">
        <v>667</v>
      </c>
      <c r="C78" s="20" t="s">
        <v>668</v>
      </c>
      <c r="D78" s="19"/>
      <c r="E78" s="28" t="n">
        <f aca="false">ROUND(0.25*(Cálculos!$E$4+Cálculos!$E$5),0)</f>
        <v>51</v>
      </c>
      <c r="F78" s="19" t="s">
        <v>187</v>
      </c>
      <c r="G78" s="20" t="s">
        <v>669</v>
      </c>
      <c r="H78" s="31" t="s">
        <v>39</v>
      </c>
    </row>
    <row r="79" customFormat="false" ht="15" hidden="false" customHeight="false" outlineLevel="0" collapsed="false">
      <c r="A79" s="19" t="s">
        <v>670</v>
      </c>
      <c r="B79" s="20" t="s">
        <v>671</v>
      </c>
      <c r="C79" s="20" t="s">
        <v>672</v>
      </c>
      <c r="D79" s="19"/>
      <c r="E79" s="28" t="n">
        <f aca="false">ROUND(0.35*(Cálculos!$E$4+Cálculos!$E$5),0)</f>
        <v>71</v>
      </c>
      <c r="F79" s="19" t="s">
        <v>187</v>
      </c>
      <c r="G79" s="20" t="s">
        <v>669</v>
      </c>
      <c r="H79" s="31" t="s">
        <v>39</v>
      </c>
    </row>
    <row r="80" customFormat="false" ht="22.35" hidden="false" customHeight="false" outlineLevel="0" collapsed="false">
      <c r="A80" s="19" t="s">
        <v>673</v>
      </c>
      <c r="B80" s="20" t="s">
        <v>674</v>
      </c>
      <c r="C80" s="20" t="s">
        <v>242</v>
      </c>
      <c r="D80" s="19"/>
      <c r="E80" s="28" t="n">
        <f aca="false">10</f>
        <v>10</v>
      </c>
      <c r="F80" s="19" t="s">
        <v>187</v>
      </c>
      <c r="G80" s="20" t="s">
        <v>675</v>
      </c>
      <c r="H80" s="31" t="s">
        <v>39</v>
      </c>
    </row>
    <row r="81" customFormat="false" ht="15" hidden="false" customHeight="false" outlineLevel="0" collapsed="false">
      <c r="A81" s="19" t="s">
        <v>676</v>
      </c>
      <c r="B81" s="20" t="s">
        <v>677</v>
      </c>
      <c r="C81" s="20" t="s">
        <v>678</v>
      </c>
      <c r="D81" s="19"/>
      <c r="E81" s="28" t="n">
        <f aca="false">Cálculos!$E$80*12</f>
        <v>120</v>
      </c>
      <c r="F81" s="19" t="s">
        <v>119</v>
      </c>
      <c r="G81" s="20" t="s">
        <v>679</v>
      </c>
      <c r="H81" s="3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2026-10-10T20:26:19Z</dcterms:created>
  <dc:creator>openpyxl</dc:creator>
  <dc:description/>
  <dc:language>en-US</dc:language>
  <cp:lastModifiedBy/>
  <dcterms:modified xsi:type="dcterms:W3CDTF">2026-10-10T20:26:19Z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